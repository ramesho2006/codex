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x\Projects\JStockGenie\JStockGenie - 03.Fidelity and Market Analysis\outputs\stockanalysis_screeners_20260801\"/>
    </mc:Choice>
  </mc:AlternateContent>
  <xr:revisionPtr revIDLastSave="0" documentId="13_ncr:9_{464E606E-503D-4CCA-808E-A87A2E3379A3}" xr6:coauthVersionLast="47" xr6:coauthVersionMax="47" xr10:uidLastSave="{00000000-0000-0000-0000-000000000000}"/>
  <bookViews>
    <workbookView xWindow="-93" yWindow="-93" windowWidth="25786" windowHeight="13986" xr2:uid="{65FD8606-E2EA-4F9A-B3A7-0DED0EAC217B}"/>
  </bookViews>
  <sheets>
    <sheet name="StockAnalysis_JSG_All_Enriched_" sheetId="1" r:id="rId1"/>
    <sheet name="newlist" sheetId="2" r:id="rId2"/>
    <sheet name="oldlist" sheetId="3" r:id="rId3"/>
    <sheet name="summary" sheetId="4" r:id="rId4"/>
  </sheets>
  <definedNames>
    <definedName name="_xlnm._FilterDatabase" localSheetId="1" hidden="1">newlist!$A$1:$C$1370</definedName>
    <definedName name="_xlnm._FilterDatabase" localSheetId="2" hidden="1">oldlist!$A$1:$C$1213</definedName>
    <definedName name="_xlnm._FilterDatabase" localSheetId="0" hidden="1">StockAnalysis_JSG_All_Enriched_!$A$1:$L$1370</definedName>
  </definedNames>
  <calcPr calcId="0"/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3" i="3"/>
  <c r="C2" i="3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E3" i="4" l="1"/>
  <c r="B3" i="4"/>
  <c r="B2" i="4"/>
  <c r="E2" i="4"/>
</calcChain>
</file>

<file path=xl/sharedStrings.xml><?xml version="1.0" encoding="utf-8"?>
<sst xmlns="http://schemas.openxmlformats.org/spreadsheetml/2006/main" count="15880" uniqueCount="2822">
  <si>
    <t>Symbol</t>
  </si>
  <si>
    <t>Type</t>
  </si>
  <si>
    <t>Name</t>
  </si>
  <si>
    <t>Dividend Yield</t>
  </si>
  <si>
    <t>Growth Score</t>
  </si>
  <si>
    <t>Optionable</t>
  </si>
  <si>
    <t>Weekly Verdict</t>
  </si>
  <si>
    <t>Direction</t>
  </si>
  <si>
    <t>Confidence %</t>
  </si>
  <si>
    <t>SELL PUT Suitability</t>
  </si>
  <si>
    <t>SELL CALL Suitability</t>
  </si>
  <si>
    <t>Premium ROI</t>
  </si>
  <si>
    <t>WDC</t>
  </si>
  <si>
    <t>Western Digital Corporation</t>
  </si>
  <si>
    <t>Yes</t>
  </si>
  <si>
    <t>STRONG_BULLISH</t>
  </si>
  <si>
    <t>BULLISH</t>
  </si>
  <si>
    <t>High</t>
  </si>
  <si>
    <t>Covered call only if already held</t>
  </si>
  <si>
    <t>13.28% (SELL PUT, exp 20260821)</t>
  </si>
  <si>
    <t>AMAT</t>
  </si>
  <si>
    <t>Applied Materials, Inc.</t>
  </si>
  <si>
    <t>10.79% (SELL PUT, exp 20260821)</t>
  </si>
  <si>
    <t>TER</t>
  </si>
  <si>
    <t>Teradyne, Inc.</t>
  </si>
  <si>
    <t>13.01% (SELL PUT, exp 20260821)</t>
  </si>
  <si>
    <t>AMD</t>
  </si>
  <si>
    <t>Advanced Micro Devices, Inc.</t>
  </si>
  <si>
    <t>-</t>
  </si>
  <si>
    <t>9.13% (SELL PUT, exp 20260821)</t>
  </si>
  <si>
    <t>COHR</t>
  </si>
  <si>
    <t>Coherent Corp.</t>
  </si>
  <si>
    <t>MIXED</t>
  </si>
  <si>
    <t>Medium</t>
  </si>
  <si>
    <t>Medium covered-call candidate</t>
  </si>
  <si>
    <t>12.63% (SELL PUT, exp 20260821)</t>
  </si>
  <si>
    <t>HPE</t>
  </si>
  <si>
    <t>Hewlett Packard Enterprise Company</t>
  </si>
  <si>
    <t>7.38% (SELL PUT, exp 20260821)</t>
  </si>
  <si>
    <t>VRT</t>
  </si>
  <si>
    <t>Vertiv Holdings Co</t>
  </si>
  <si>
    <t>8.18% (SELL PUT, exp 20260821)</t>
  </si>
  <si>
    <t>DELL</t>
  </si>
  <si>
    <t>Dell Technologies Inc.</t>
  </si>
  <si>
    <t>8.95% (SELL PUT, exp 20260821)</t>
  </si>
  <si>
    <t>DDOG</t>
  </si>
  <si>
    <t>Datadog, Inc.</t>
  </si>
  <si>
    <t>7.70% (SELL PUT, exp 20260821)</t>
  </si>
  <si>
    <t>INTC</t>
  </si>
  <si>
    <t>Intel Corporation</t>
  </si>
  <si>
    <t>11.70% (SELL PUT, exp 20260821)</t>
  </si>
  <si>
    <t>LITE</t>
  </si>
  <si>
    <t>Lumentum Holdings Inc.</t>
  </si>
  <si>
    <t>Medium-High</t>
  </si>
  <si>
    <t>STT</t>
  </si>
  <si>
    <t>State Street Corporation</t>
  </si>
  <si>
    <t>FTNT</t>
  </si>
  <si>
    <t>Fortinet, Inc.</t>
  </si>
  <si>
    <t>7.72% (SELL PUT, exp 20260821)</t>
  </si>
  <si>
    <t>PSX</t>
  </si>
  <si>
    <t>Phillips 66</t>
  </si>
  <si>
    <t>CFG</t>
  </si>
  <si>
    <t>Citizens Financial Group, Inc.</t>
  </si>
  <si>
    <t>HST</t>
  </si>
  <si>
    <t>Host Hotels &amp; Resorts, Inc.</t>
  </si>
  <si>
    <t>ANET</t>
  </si>
  <si>
    <t>Arista Networks, Inc.</t>
  </si>
  <si>
    <t>VTRS</t>
  </si>
  <si>
    <t>Viatris Inc.</t>
  </si>
  <si>
    <t>CASY</t>
  </si>
  <si>
    <t>Casey's General Stores, Inc.</t>
  </si>
  <si>
    <t>CAT</t>
  </si>
  <si>
    <t>Caterpillar Inc.</t>
  </si>
  <si>
    <t>WAB</t>
  </si>
  <si>
    <t>Westinghouse Air Brake Technologies Corporation</t>
  </si>
  <si>
    <t>SPG</t>
  </si>
  <si>
    <t>Simon Property Group, Inc.</t>
  </si>
  <si>
    <t>HWM</t>
  </si>
  <si>
    <t>Howmet Aerospace Inc.</t>
  </si>
  <si>
    <t>FITB</t>
  </si>
  <si>
    <t>Fifth Third Bancorp</t>
  </si>
  <si>
    <t>CVS</t>
  </si>
  <si>
    <t>CVS Health Corporation</t>
  </si>
  <si>
    <t>XOM</t>
  </si>
  <si>
    <t>ExxonMobil Holdings Corporation</t>
  </si>
  <si>
    <t>APA</t>
  </si>
  <si>
    <t>APA Corporation</t>
  </si>
  <si>
    <t>VTR</t>
  </si>
  <si>
    <t>Ventas, Inc.</t>
  </si>
  <si>
    <t>MPC</t>
  </si>
  <si>
    <t>Marathon Petroleum Corporation</t>
  </si>
  <si>
    <t>PNC</t>
  </si>
  <si>
    <t>The PNC Financial Services Group, Inc.</t>
  </si>
  <si>
    <t>BAC</t>
  </si>
  <si>
    <t>Bank of America Corporation</t>
  </si>
  <si>
    <t>VLO</t>
  </si>
  <si>
    <t>Valero Energy Corporation</t>
  </si>
  <si>
    <t>ABBV</t>
  </si>
  <si>
    <t>AbbVie Inc.</t>
  </si>
  <si>
    <t>PANW</t>
  </si>
  <si>
    <t>Palo Alto Networks, Inc.</t>
  </si>
  <si>
    <t>MRK</t>
  </si>
  <si>
    <t>Merck &amp; Co., Inc.</t>
  </si>
  <si>
    <t>GS</t>
  </si>
  <si>
    <t>The Goldman Sachs Group, Inc.</t>
  </si>
  <si>
    <t>MTB</t>
  </si>
  <si>
    <t>M&amp;T Bank Corporation</t>
  </si>
  <si>
    <t>PM</t>
  </si>
  <si>
    <t>Philip Morris International Inc.</t>
  </si>
  <si>
    <t>UAL</t>
  </si>
  <si>
    <t>United Airlines Holdings, Inc.</t>
  </si>
  <si>
    <t>APH</t>
  </si>
  <si>
    <t>Amphenol Corporation</t>
  </si>
  <si>
    <t>JNJ</t>
  </si>
  <si>
    <t>Johnson &amp; Johnson</t>
  </si>
  <si>
    <t>FANG</t>
  </si>
  <si>
    <t>Diamondback Energy, Inc.</t>
  </si>
  <si>
    <t>USB</t>
  </si>
  <si>
    <t>U.S. Bancorp</t>
  </si>
  <si>
    <t>PCAR</t>
  </si>
  <si>
    <t>PACCAR Inc</t>
  </si>
  <si>
    <t>DAL</t>
  </si>
  <si>
    <t>Delta Air Lines, Inc.</t>
  </si>
  <si>
    <t>WRB</t>
  </si>
  <si>
    <t>W. R. Berkley Corporation</t>
  </si>
  <si>
    <t>NVDA</t>
  </si>
  <si>
    <t>NVIDIA Corporation</t>
  </si>
  <si>
    <t>DVA</t>
  </si>
  <si>
    <t>DaVita Inc.</t>
  </si>
  <si>
    <t>GM</t>
  </si>
  <si>
    <t>General Motors Company</t>
  </si>
  <si>
    <t>RF</t>
  </si>
  <si>
    <t>Regions Financial Corporation</t>
  </si>
  <si>
    <t>NTAP</t>
  </si>
  <si>
    <t>NetApp, Inc.</t>
  </si>
  <si>
    <t>WELL</t>
  </si>
  <si>
    <t>Welltower Inc.</t>
  </si>
  <si>
    <t>EIX</t>
  </si>
  <si>
    <t>Edison International</t>
  </si>
  <si>
    <t>MET</t>
  </si>
  <si>
    <t>MetLife, Inc.</t>
  </si>
  <si>
    <t>KMI</t>
  </si>
  <si>
    <t>Kinder Morgan, Inc.</t>
  </si>
  <si>
    <t>AMGN</t>
  </si>
  <si>
    <t>Amgen Inc.</t>
  </si>
  <si>
    <t>TFC</t>
  </si>
  <si>
    <t>Truist Financial Corporation</t>
  </si>
  <si>
    <t>CSCO</t>
  </si>
  <si>
    <t>Cisco Systems, Inc.</t>
  </si>
  <si>
    <t>EOG</t>
  </si>
  <si>
    <t>EOG Resources, Inc.</t>
  </si>
  <si>
    <t>RCL</t>
  </si>
  <si>
    <t>Royal Caribbean Cruises Ltd.</t>
  </si>
  <si>
    <t>PLD</t>
  </si>
  <si>
    <t>Prologis, Inc.</t>
  </si>
  <si>
    <t>RTX</t>
  </si>
  <si>
    <t>RTX Corporation</t>
  </si>
  <si>
    <t>F</t>
  </si>
  <si>
    <t>Ford Motor Company</t>
  </si>
  <si>
    <t>BMY</t>
  </si>
  <si>
    <t>Bristol-Myers Squibb Company</t>
  </si>
  <si>
    <t>MO</t>
  </si>
  <si>
    <t>Altria Group, Inc.</t>
  </si>
  <si>
    <t>AEP</t>
  </si>
  <si>
    <t>American Electric Power Company, Inc.</t>
  </si>
  <si>
    <t>WSM</t>
  </si>
  <si>
    <t>Williams-Sonoma, Inc.</t>
  </si>
  <si>
    <t>IVZ</t>
  </si>
  <si>
    <t>Invesco Ltd.</t>
  </si>
  <si>
    <t>AIG</t>
  </si>
  <si>
    <t>American International Group, Inc.</t>
  </si>
  <si>
    <t>TRV</t>
  </si>
  <si>
    <t>The Travelers Companies, Inc.</t>
  </si>
  <si>
    <t>KIM</t>
  </si>
  <si>
    <t>Kimco Realty Corporation</t>
  </si>
  <si>
    <t>AIZ</t>
  </si>
  <si>
    <t>Assurant, Inc.</t>
  </si>
  <si>
    <t>INCY</t>
  </si>
  <si>
    <t>Incyte Corporation</t>
  </si>
  <si>
    <t>REG</t>
  </si>
  <si>
    <t>Regency Centers Corporation</t>
  </si>
  <si>
    <t>DOC</t>
  </si>
  <si>
    <t>Healthpeak Properties, Inc.</t>
  </si>
  <si>
    <t>GEV</t>
  </si>
  <si>
    <t>GE Vernova Inc.</t>
  </si>
  <si>
    <t>7.42% (SELL PUT, exp 20260821)</t>
  </si>
  <si>
    <t>LNT</t>
  </si>
  <si>
    <t>Alliant Energy Corporation</t>
  </si>
  <si>
    <t>DTE</t>
  </si>
  <si>
    <t>DTE Energy Company</t>
  </si>
  <si>
    <t>ALL</t>
  </si>
  <si>
    <t>The Allstate Corporation</t>
  </si>
  <si>
    <t>EXPE</t>
  </si>
  <si>
    <t>Expedia Group, Inc.</t>
  </si>
  <si>
    <t>AVGO</t>
  </si>
  <si>
    <t>Broadcom Inc.</t>
  </si>
  <si>
    <t>JPM</t>
  </si>
  <si>
    <t>JPMorgan Chase &amp; Co.</t>
  </si>
  <si>
    <t>SNA</t>
  </si>
  <si>
    <t>Snap-on Incorporated</t>
  </si>
  <si>
    <t>BBY</t>
  </si>
  <si>
    <t>Best Buy Co., Inc.</t>
  </si>
  <si>
    <t>EG</t>
  </si>
  <si>
    <t>Everest Group, Ltd.</t>
  </si>
  <si>
    <t>GWW</t>
  </si>
  <si>
    <t>W.W. Grainger, Inc.</t>
  </si>
  <si>
    <t>AEE</t>
  </si>
  <si>
    <t>Ameren Corporation</t>
  </si>
  <si>
    <t>SO</t>
  </si>
  <si>
    <t>The Southern Company</t>
  </si>
  <si>
    <t>ITW</t>
  </si>
  <si>
    <t>Illinois Tool Works Inc.</t>
  </si>
  <si>
    <t>BX</t>
  </si>
  <si>
    <t>Blackstone Inc.</t>
  </si>
  <si>
    <t>ED</t>
  </si>
  <si>
    <t>Consolidated Edison, Inc.</t>
  </si>
  <si>
    <t>O</t>
  </si>
  <si>
    <t>Realty Income Corporation</t>
  </si>
  <si>
    <t>CMS</t>
  </si>
  <si>
    <t>CMS Energy Corporation</t>
  </si>
  <si>
    <t>L</t>
  </si>
  <si>
    <t>Loews Corporation</t>
  </si>
  <si>
    <t>EXC</t>
  </si>
  <si>
    <t>Exelon Corporation</t>
  </si>
  <si>
    <t>ES</t>
  </si>
  <si>
    <t>Eversource Energy</t>
  </si>
  <si>
    <t>TT</t>
  </si>
  <si>
    <t>Trane Technologies plc</t>
  </si>
  <si>
    <t>D</t>
  </si>
  <si>
    <t>Dominion Energy, Inc.</t>
  </si>
  <si>
    <t>HOOD</t>
  </si>
  <si>
    <t>Robinhood Markets, Inc.</t>
  </si>
  <si>
    <t>7.62% (SELL PUT, exp 20260821)</t>
  </si>
  <si>
    <t>ADM</t>
  </si>
  <si>
    <t>Archer-Daniels-Midland Company</t>
  </si>
  <si>
    <t>TPL</t>
  </si>
  <si>
    <t>Texas Pacific Land Corporation</t>
  </si>
  <si>
    <t>EXR</t>
  </si>
  <si>
    <t>Extra Space Storage Inc.</t>
  </si>
  <si>
    <t>AFL</t>
  </si>
  <si>
    <t>Aflac Incorporated</t>
  </si>
  <si>
    <t>UPS</t>
  </si>
  <si>
    <t>United Parcel Service, Inc.</t>
  </si>
  <si>
    <t>DGX</t>
  </si>
  <si>
    <t>Quest Diagnostics Incorporated</t>
  </si>
  <si>
    <t>AAPL</t>
  </si>
  <si>
    <t>Apple Inc.</t>
  </si>
  <si>
    <t>JBHT</t>
  </si>
  <si>
    <t>J.B. Hunt Transport Services, Inc.</t>
  </si>
  <si>
    <t>BXP</t>
  </si>
  <si>
    <t>BXP, Inc.</t>
  </si>
  <si>
    <t>APP</t>
  </si>
  <si>
    <t>AppLovin Corporation</t>
  </si>
  <si>
    <t>CAUTION</t>
  </si>
  <si>
    <t>BEARISH</t>
  </si>
  <si>
    <t>Avoid/Wait</t>
  </si>
  <si>
    <t>9.17% (SELL PUT, exp 20260821)</t>
  </si>
  <si>
    <t>SJM</t>
  </si>
  <si>
    <t>The J. M. Smucker Company</t>
  </si>
  <si>
    <t>ETN</t>
  </si>
  <si>
    <t>Eaton Corporation plc</t>
  </si>
  <si>
    <t>PCG</t>
  </si>
  <si>
    <t>PG&amp;E Corporation</t>
  </si>
  <si>
    <t>FCX</t>
  </si>
  <si>
    <t>Freeport-McMoRan Inc.</t>
  </si>
  <si>
    <t>CB</t>
  </si>
  <si>
    <t>Chubb Limited</t>
  </si>
  <si>
    <t>ADP</t>
  </si>
  <si>
    <t>Automatic Data Processing, Inc.</t>
  </si>
  <si>
    <t>PFG</t>
  </si>
  <si>
    <t>Principal Financial Group, Inc.</t>
  </si>
  <si>
    <t>HPQ</t>
  </si>
  <si>
    <t>HP Inc.</t>
  </si>
  <si>
    <t>MDLZ</t>
  </si>
  <si>
    <t>Mondelez International, Inc.</t>
  </si>
  <si>
    <t>CPT</t>
  </si>
  <si>
    <t>Camden Property Trust</t>
  </si>
  <si>
    <t>AME</t>
  </si>
  <si>
    <t>AMETEK, Inc.</t>
  </si>
  <si>
    <t>CSX</t>
  </si>
  <si>
    <t>CSX Corporation</t>
  </si>
  <si>
    <t>TROW</t>
  </si>
  <si>
    <t>T. Rowe Price Group, Inc.</t>
  </si>
  <si>
    <t>GD</t>
  </si>
  <si>
    <t>General Dynamics Corporation</t>
  </si>
  <si>
    <t>AXON</t>
  </si>
  <si>
    <t>Axon Enterprise, Inc.</t>
  </si>
  <si>
    <t>ACGL</t>
  </si>
  <si>
    <t>Arch Capital Group Ltd.</t>
  </si>
  <si>
    <t>AWK</t>
  </si>
  <si>
    <t>American Water Works Company, Inc.</t>
  </si>
  <si>
    <t>TDY</t>
  </si>
  <si>
    <t>Teledyne Technologies Incorporated</t>
  </si>
  <si>
    <t>KEY</t>
  </si>
  <si>
    <t>KeyCorp</t>
  </si>
  <si>
    <t>HIG</t>
  </si>
  <si>
    <t>The Hartford Insurance Group, Inc.</t>
  </si>
  <si>
    <t>SCHW</t>
  </si>
  <si>
    <t>The Charles Schwab Corporation</t>
  </si>
  <si>
    <t>OXY</t>
  </si>
  <si>
    <t>Occidental Petroleum Corporation</t>
  </si>
  <si>
    <t>CHRW</t>
  </si>
  <si>
    <t>C.H. Robinson Worldwide, Inc.</t>
  </si>
  <si>
    <t>EXPD</t>
  </si>
  <si>
    <t>Expeditors International of Washington, Inc.</t>
  </si>
  <si>
    <t>ROK</t>
  </si>
  <si>
    <t>Rockwell Automation, Inc.</t>
  </si>
  <si>
    <t>CF</t>
  </si>
  <si>
    <t>CF Industries Holdings, Inc.</t>
  </si>
  <si>
    <t>ESS</t>
  </si>
  <si>
    <t>Essex Property Trust, Inc.</t>
  </si>
  <si>
    <t>EA</t>
  </si>
  <si>
    <t>Electronic Arts Inc.</t>
  </si>
  <si>
    <t>VRTX</t>
  </si>
  <si>
    <t>Vertex Pharmaceuticals Incorporated</t>
  </si>
  <si>
    <t>ODFL</t>
  </si>
  <si>
    <t>Old Dominion Freight Line, Inc.</t>
  </si>
  <si>
    <t>UNP</t>
  </si>
  <si>
    <t>Union Pacific Corporation</t>
  </si>
  <si>
    <t>VRSN</t>
  </si>
  <si>
    <t>VeriSign, Inc.</t>
  </si>
  <si>
    <t>NDSN</t>
  </si>
  <si>
    <t>Nordson Corporation</t>
  </si>
  <si>
    <t>RJF</t>
  </si>
  <si>
    <t>Raymond James Financial, Inc.</t>
  </si>
  <si>
    <t>AMP</t>
  </si>
  <si>
    <t>Ameriprise Financial, Inc.</t>
  </si>
  <si>
    <t>KHC</t>
  </si>
  <si>
    <t>The Kraft Heinz Company</t>
  </si>
  <si>
    <t>NSC</t>
  </si>
  <si>
    <t>Norfolk Southern Corporation</t>
  </si>
  <si>
    <t>CTAS</t>
  </si>
  <si>
    <t>Cintas Corporation</t>
  </si>
  <si>
    <t>SYY</t>
  </si>
  <si>
    <t>Sysco Corporation</t>
  </si>
  <si>
    <t>BDX</t>
  </si>
  <si>
    <t>Becton, Dickinson and Company</t>
  </si>
  <si>
    <t>V</t>
  </si>
  <si>
    <t>Visa Inc.</t>
  </si>
  <si>
    <t>ECL</t>
  </si>
  <si>
    <t>Ecolab Inc.</t>
  </si>
  <si>
    <t>CTVA</t>
  </si>
  <si>
    <t>Corteva, Inc.</t>
  </si>
  <si>
    <t>MA</t>
  </si>
  <si>
    <t>Mastercard Incorporated</t>
  </si>
  <si>
    <t>MMM</t>
  </si>
  <si>
    <t>3M Company</t>
  </si>
  <si>
    <t>SOLV</t>
  </si>
  <si>
    <t>Solventum Corporation</t>
  </si>
  <si>
    <t>IEX</t>
  </si>
  <si>
    <t>IDEX Corporation</t>
  </si>
  <si>
    <t>DE</t>
  </si>
  <si>
    <t>Deere &amp; Company</t>
  </si>
  <si>
    <t>WM</t>
  </si>
  <si>
    <t>Waste Management, Inc.</t>
  </si>
  <si>
    <t>EMR</t>
  </si>
  <si>
    <t>Emerson Electric Co.</t>
  </si>
  <si>
    <t>LYB</t>
  </si>
  <si>
    <t>LyondellBasell Industries N.V.</t>
  </si>
  <si>
    <t>SBUX</t>
  </si>
  <si>
    <t>Starbucks Corporation</t>
  </si>
  <si>
    <t>LH</t>
  </si>
  <si>
    <t>Labcorp Holdings Inc.</t>
  </si>
  <si>
    <t>VLTO</t>
  </si>
  <si>
    <t>Veralto Corporation</t>
  </si>
  <si>
    <t>IQV</t>
  </si>
  <si>
    <t>IQVIA Holdings Inc.</t>
  </si>
  <si>
    <t>APD</t>
  </si>
  <si>
    <t>Air Products and Chemicals, Inc.</t>
  </si>
  <si>
    <t>RSG</t>
  </si>
  <si>
    <t>Republic Services, Inc.</t>
  </si>
  <si>
    <t>LIN</t>
  </si>
  <si>
    <t>Linde plc</t>
  </si>
  <si>
    <t>MNST</t>
  </si>
  <si>
    <t>Monster Beverage Corporation</t>
  </si>
  <si>
    <t>HSIC</t>
  </si>
  <si>
    <t>Henry Schein, Inc.</t>
  </si>
  <si>
    <t>GPC</t>
  </si>
  <si>
    <t>Genuine Parts Company</t>
  </si>
  <si>
    <t>KVUE</t>
  </si>
  <si>
    <t>Kenvue Inc.</t>
  </si>
  <si>
    <t>KMB</t>
  </si>
  <si>
    <t>Kimberly-Clark Corporation</t>
  </si>
  <si>
    <t>CRL</t>
  </si>
  <si>
    <t>Charles River Laboratories International, Inc.</t>
  </si>
  <si>
    <t>TMO</t>
  </si>
  <si>
    <t>Thermo Fisher Scientific Inc.</t>
  </si>
  <si>
    <t>AON</t>
  </si>
  <si>
    <t>Aon plc</t>
  </si>
  <si>
    <t>TXT</t>
  </si>
  <si>
    <t>Textron Inc.</t>
  </si>
  <si>
    <t>PEG</t>
  </si>
  <si>
    <t>Public Service Enterprise Group Incorporated</t>
  </si>
  <si>
    <t>A</t>
  </si>
  <si>
    <t>Agilent Technologies, Inc.</t>
  </si>
  <si>
    <t>PNW</t>
  </si>
  <si>
    <t>Pinnacle West Capital Corporation</t>
  </si>
  <si>
    <t>IR</t>
  </si>
  <si>
    <t>Ingersoll Rand Inc.</t>
  </si>
  <si>
    <t>BALL</t>
  </si>
  <si>
    <t>Ball Corporation</t>
  </si>
  <si>
    <t>TTWO</t>
  </si>
  <si>
    <t>Take-Two Interactive Software, Inc.</t>
  </si>
  <si>
    <t>HUM</t>
  </si>
  <si>
    <t>Humana Inc.</t>
  </si>
  <si>
    <t>LYV</t>
  </si>
  <si>
    <t>Live Nation Entertainment, Inc.</t>
  </si>
  <si>
    <t>MTD</t>
  </si>
  <si>
    <t>Mettler-Toledo International Inc.</t>
  </si>
  <si>
    <t>AKAM</t>
  </si>
  <si>
    <t>Akamai Technologies, Inc.</t>
  </si>
  <si>
    <t>XYZ</t>
  </si>
  <si>
    <t>Block, Inc.</t>
  </si>
  <si>
    <t>GL</t>
  </si>
  <si>
    <t>Globe Life Inc.</t>
  </si>
  <si>
    <t>MCO</t>
  </si>
  <si>
    <t>Moody's Corporation</t>
  </si>
  <si>
    <t>AVB</t>
  </si>
  <si>
    <t>AvalonBay Communities, Inc.</t>
  </si>
  <si>
    <t>AJG</t>
  </si>
  <si>
    <t>Arthur J. Gallagher &amp; Co.</t>
  </si>
  <si>
    <t>GEN</t>
  </si>
  <si>
    <t>Gen Digital Inc.</t>
  </si>
  <si>
    <t>KDP</t>
  </si>
  <si>
    <t>Keurig Dr Pepper Inc.</t>
  </si>
  <si>
    <t>PGR</t>
  </si>
  <si>
    <t>The Progressive Corporation</t>
  </si>
  <si>
    <t>SPGI</t>
  </si>
  <si>
    <t>S&amp;P Global Inc.</t>
  </si>
  <si>
    <t>CPB</t>
  </si>
  <si>
    <t>The Campbell's Company</t>
  </si>
  <si>
    <t>CNC</t>
  </si>
  <si>
    <t>Centene Corporation</t>
  </si>
  <si>
    <t>HD</t>
  </si>
  <si>
    <t>The Home Depot, Inc.</t>
  </si>
  <si>
    <t>ZBH</t>
  </si>
  <si>
    <t>Zimmer Biomet Holdings, Inc.</t>
  </si>
  <si>
    <t>INVH</t>
  </si>
  <si>
    <t>Invitation Homes Inc.</t>
  </si>
  <si>
    <t>MAS</t>
  </si>
  <si>
    <t>Masco Corporation</t>
  </si>
  <si>
    <t>TECH</t>
  </si>
  <si>
    <t>Bio-Techne Corporation</t>
  </si>
  <si>
    <t>MRNA</t>
  </si>
  <si>
    <t>Moderna, Inc.</t>
  </si>
  <si>
    <t>CHD</t>
  </si>
  <si>
    <t>Church &amp; Dwight Co., Inc.</t>
  </si>
  <si>
    <t>DHR</t>
  </si>
  <si>
    <t>Danaher Corporation</t>
  </si>
  <si>
    <t>RVTY</t>
  </si>
  <si>
    <t>Revvity, Inc.</t>
  </si>
  <si>
    <t>PYPL</t>
  </si>
  <si>
    <t>PayPal Holdings, Inc.</t>
  </si>
  <si>
    <t>META</t>
  </si>
  <si>
    <t>Meta Platforms, Inc.</t>
  </si>
  <si>
    <t>MGM</t>
  </si>
  <si>
    <t>MGM Resorts International</t>
  </si>
  <si>
    <t>MPWR</t>
  </si>
  <si>
    <t>Monolithic Power Systems, Inc.</t>
  </si>
  <si>
    <t>STRONG_BEARISH</t>
  </si>
  <si>
    <t>ABNB</t>
  </si>
  <si>
    <t>Airbnb, Inc.</t>
  </si>
  <si>
    <t>SHW</t>
  </si>
  <si>
    <t>The Sherwin-Williams Company</t>
  </si>
  <si>
    <t>DLTR</t>
  </si>
  <si>
    <t>Dollar Tree, Inc.</t>
  </si>
  <si>
    <t>BAX</t>
  </si>
  <si>
    <t>Baxter International Inc.</t>
  </si>
  <si>
    <t>WST</t>
  </si>
  <si>
    <t>West Pharmaceutical Services, Inc.</t>
  </si>
  <si>
    <t>EME</t>
  </si>
  <si>
    <t>EMCOR Group, Inc.</t>
  </si>
  <si>
    <t>DXCM</t>
  </si>
  <si>
    <t>DexCom, Inc.</t>
  </si>
  <si>
    <t>ZBRA</t>
  </si>
  <si>
    <t>Zebra Technologies Corporation</t>
  </si>
  <si>
    <t>WDAY</t>
  </si>
  <si>
    <t>Workday, Inc.</t>
  </si>
  <si>
    <t>DLR</t>
  </si>
  <si>
    <t>Digital Realty Trust, Inc.</t>
  </si>
  <si>
    <t>COO</t>
  </si>
  <si>
    <t>The Cooper Companies, Inc.</t>
  </si>
  <si>
    <t>TPR</t>
  </si>
  <si>
    <t>Tapestry, Inc.</t>
  </si>
  <si>
    <t>ALGN</t>
  </si>
  <si>
    <t>Align Technology, Inc.</t>
  </si>
  <si>
    <t>ROST</t>
  </si>
  <si>
    <t>Ross Stores, Inc.</t>
  </si>
  <si>
    <t>PG</t>
  </si>
  <si>
    <t>The Procter &amp; Gamble Company</t>
  </si>
  <si>
    <t>UNH</t>
  </si>
  <si>
    <t>UnitedHealth Group Incorporated</t>
  </si>
  <si>
    <t>TTD</t>
  </si>
  <si>
    <t>The Trade Desk, Inc.</t>
  </si>
  <si>
    <t>High covered-call candidate</t>
  </si>
  <si>
    <t>9.50% (SELL CALL, exp 20260821)</t>
  </si>
  <si>
    <t>BG</t>
  </si>
  <si>
    <t>Bunge Global SA</t>
  </si>
  <si>
    <t>CME</t>
  </si>
  <si>
    <t>CME Group Inc.</t>
  </si>
  <si>
    <t>WBD</t>
  </si>
  <si>
    <t>Warner Bros. Discovery, Inc.</t>
  </si>
  <si>
    <t>TKO</t>
  </si>
  <si>
    <t>TKO Group Holdings, Inc.</t>
  </si>
  <si>
    <t>COIN</t>
  </si>
  <si>
    <t>Coinbase Global, Inc.</t>
  </si>
  <si>
    <t>NEUTRAL</t>
  </si>
  <si>
    <t>8.76% (SELL CALL, exp 20260821)</t>
  </si>
  <si>
    <t>CHTR</t>
  </si>
  <si>
    <t>Charter Communications, Inc.</t>
  </si>
  <si>
    <t>9.00% (SELL CALL, exp 20260821)</t>
  </si>
  <si>
    <t>PLTR</t>
  </si>
  <si>
    <t>Palantir Technologies Inc.</t>
  </si>
  <si>
    <t>CBOE</t>
  </si>
  <si>
    <t>Cboe Global Markets, Inc.</t>
  </si>
  <si>
    <t>TMUS</t>
  </si>
  <si>
    <t>T-Mobile US, Inc.</t>
  </si>
  <si>
    <t>NEM</t>
  </si>
  <si>
    <t>Newmont Corporation</t>
  </si>
  <si>
    <t>CI</t>
  </si>
  <si>
    <t>The Cigna Group</t>
  </si>
  <si>
    <t>DOW</t>
  </si>
  <si>
    <t>Dow Inc.</t>
  </si>
  <si>
    <t>TJX</t>
  </si>
  <si>
    <t>The TJX Companies, Inc.</t>
  </si>
  <si>
    <t>LVS</t>
  </si>
  <si>
    <t>Las Vegas Sands Corp.</t>
  </si>
  <si>
    <t>KR</t>
  </si>
  <si>
    <t>The Kroger Co.</t>
  </si>
  <si>
    <t>WMT</t>
  </si>
  <si>
    <t>Walmart Inc.</t>
  </si>
  <si>
    <t>BR</t>
  </si>
  <si>
    <t>Broadridge Financial Solutions, Inc.</t>
  </si>
  <si>
    <t>NFLX</t>
  </si>
  <si>
    <t>Netflix, Inc.</t>
  </si>
  <si>
    <t>CVNA</t>
  </si>
  <si>
    <t>Carvana Co.</t>
  </si>
  <si>
    <t>PEP</t>
  </si>
  <si>
    <t>PepsiCo, Inc.</t>
  </si>
  <si>
    <t>CRH</t>
  </si>
  <si>
    <t>CRH plc</t>
  </si>
  <si>
    <t>HSY</t>
  </si>
  <si>
    <t>The Hershey Company</t>
  </si>
  <si>
    <t>PPG</t>
  </si>
  <si>
    <t>PPG Industries, Inc.</t>
  </si>
  <si>
    <t>VICI</t>
  </si>
  <si>
    <t>VICI Properties Inc.</t>
  </si>
  <si>
    <t>ALB</t>
  </si>
  <si>
    <t>Albemarle Corporation</t>
  </si>
  <si>
    <t>ERIE</t>
  </si>
  <si>
    <t>Erie Indemnity Company</t>
  </si>
  <si>
    <t>PSKY</t>
  </si>
  <si>
    <t>Paramount Skydance Corporation</t>
  </si>
  <si>
    <t>OTIS</t>
  </si>
  <si>
    <t>Otis Worldwide Corporation</t>
  </si>
  <si>
    <t>AVY</t>
  </si>
  <si>
    <t>Avery Dennison Corporation</t>
  </si>
  <si>
    <t>MOS</t>
  </si>
  <si>
    <t>The Mosaic Company</t>
  </si>
  <si>
    <t>CMCSA</t>
  </si>
  <si>
    <t>Comcast Corporation</t>
  </si>
  <si>
    <t>HII</t>
  </si>
  <si>
    <t>Huntington Ingalls Industries, Inc.</t>
  </si>
  <si>
    <t>ACN</t>
  </si>
  <si>
    <t>Accenture plc</t>
  </si>
  <si>
    <t>CCI</t>
  </si>
  <si>
    <t>Crown Castle Inc.</t>
  </si>
  <si>
    <t>STZ</t>
  </si>
  <si>
    <t>Constellation Brands, Inc.</t>
  </si>
  <si>
    <t>SWKS</t>
  </si>
  <si>
    <t>Skyworks Solutions, Inc.</t>
  </si>
  <si>
    <t>BF-B</t>
  </si>
  <si>
    <t>Brown-Forman Corporation</t>
  </si>
  <si>
    <t>HCA</t>
  </si>
  <si>
    <t>HCA Healthcare, Inc.</t>
  </si>
  <si>
    <t>POOL</t>
  </si>
  <si>
    <t>Pool Corporation</t>
  </si>
  <si>
    <t>CLX</t>
  </si>
  <si>
    <t>The Clorox Company</t>
  </si>
  <si>
    <t>ORLY</t>
  </si>
  <si>
    <t>O'Reilly Automotive, Inc.</t>
  </si>
  <si>
    <t>COST</t>
  </si>
  <si>
    <t>Costco Wholesale Corporation</t>
  </si>
  <si>
    <t>AOS</t>
  </si>
  <si>
    <t>A. O. Smith Corporation</t>
  </si>
  <si>
    <t>FOX</t>
  </si>
  <si>
    <t>Fox Corporation</t>
  </si>
  <si>
    <t>ORCL</t>
  </si>
  <si>
    <t>Oracle Corporation</t>
  </si>
  <si>
    <t>DHI</t>
  </si>
  <si>
    <t>D.R. Horton, Inc.</t>
  </si>
  <si>
    <t>MSFT</t>
  </si>
  <si>
    <t>Microsoft Corporation</t>
  </si>
  <si>
    <t>ULTA</t>
  </si>
  <si>
    <t>Ulta Beauty, Inc.</t>
  </si>
  <si>
    <t>CSGP</t>
  </si>
  <si>
    <t>CoStar Group, Inc.</t>
  </si>
  <si>
    <t>8.17% (SELL CALL, exp 20260821)</t>
  </si>
  <si>
    <t>LHX</t>
  </si>
  <si>
    <t>L3Harris Technologies, Inc.</t>
  </si>
  <si>
    <t>YUM</t>
  </si>
  <si>
    <t>Yum! Brands, Inc.</t>
  </si>
  <si>
    <t>ICE</t>
  </si>
  <si>
    <t>Intercontinental Exchange, Inc.</t>
  </si>
  <si>
    <t>DIS</t>
  </si>
  <si>
    <t>The Walt Disney Company</t>
  </si>
  <si>
    <t>MLM</t>
  </si>
  <si>
    <t>Martin Marietta Materials, Inc.</t>
  </si>
  <si>
    <t>LDOS</t>
  </si>
  <si>
    <t>Leidos Holdings, Inc.</t>
  </si>
  <si>
    <t>STE</t>
  </si>
  <si>
    <t>STERIS plc</t>
  </si>
  <si>
    <t>IDXX</t>
  </si>
  <si>
    <t>IDEXX Laboratories, Inc.</t>
  </si>
  <si>
    <t>WYNN</t>
  </si>
  <si>
    <t>Wynn Resorts, Limited</t>
  </si>
  <si>
    <t>BA</t>
  </si>
  <si>
    <t>The Boeing Company</t>
  </si>
  <si>
    <t>ISRG</t>
  </si>
  <si>
    <t>Intuitive Surgical, Inc.</t>
  </si>
  <si>
    <t>ROL</t>
  </si>
  <si>
    <t>Rollins, Inc.</t>
  </si>
  <si>
    <t>GEHC</t>
  </si>
  <si>
    <t>GE HealthCare Technologies Inc.</t>
  </si>
  <si>
    <t>ADSK</t>
  </si>
  <si>
    <t>Autodesk, Inc.</t>
  </si>
  <si>
    <t>BSX</t>
  </si>
  <si>
    <t>Boston Scientific Corporation</t>
  </si>
  <si>
    <t>PNR</t>
  </si>
  <si>
    <t>Pentair plc</t>
  </si>
  <si>
    <t>PTC</t>
  </si>
  <si>
    <t>PTC Inc.</t>
  </si>
  <si>
    <t>BLDR</t>
  </si>
  <si>
    <t>Builders FirstSource, Inc.</t>
  </si>
  <si>
    <t>J</t>
  </si>
  <si>
    <t>Jacobs Solutions Inc.</t>
  </si>
  <si>
    <t>Medium/Watch</t>
  </si>
  <si>
    <t>TYL</t>
  </si>
  <si>
    <t>Tyler Technologies, Inc.</t>
  </si>
  <si>
    <t>CPRT</t>
  </si>
  <si>
    <t>Copart, Inc.</t>
  </si>
  <si>
    <t>TRMB</t>
  </si>
  <si>
    <t>Trimble Inc.</t>
  </si>
  <si>
    <t>DD</t>
  </si>
  <si>
    <t>DuPont de Nemours, Inc.</t>
  </si>
  <si>
    <t>FISV</t>
  </si>
  <si>
    <t>Fiserv, Inc.</t>
  </si>
  <si>
    <t>APTV</t>
  </si>
  <si>
    <t>Aptiv PLC</t>
  </si>
  <si>
    <t>STLD</t>
  </si>
  <si>
    <t>Steel Dynamics, Inc.</t>
  </si>
  <si>
    <t>No</t>
  </si>
  <si>
    <t>No current option candidate</t>
  </si>
  <si>
    <t>IRM</t>
  </si>
  <si>
    <t>Iron Mountain Incorporated</t>
  </si>
  <si>
    <t>MU</t>
  </si>
  <si>
    <t>Micron Technology, Inc.</t>
  </si>
  <si>
    <t>CIEN</t>
  </si>
  <si>
    <t>Ciena Corporation</t>
  </si>
  <si>
    <t>URI</t>
  </si>
  <si>
    <t>United Rentals, Inc.</t>
  </si>
  <si>
    <t>TRGP</t>
  </si>
  <si>
    <t>Targa Resources Corp.</t>
  </si>
  <si>
    <t>C</t>
  </si>
  <si>
    <t>Citigroup Inc.</t>
  </si>
  <si>
    <t>SNDK</t>
  </si>
  <si>
    <t>Sandisk Corporation</t>
  </si>
  <si>
    <t>JCI</t>
  </si>
  <si>
    <t>Johnson Controls International plc</t>
  </si>
  <si>
    <t>SWK</t>
  </si>
  <si>
    <t>Stanley Black &amp; Decker, Inc.</t>
  </si>
  <si>
    <t>SW</t>
  </si>
  <si>
    <t>Smurfit Westrock Plc</t>
  </si>
  <si>
    <t>JBL</t>
  </si>
  <si>
    <t>Jabil Inc.</t>
  </si>
  <si>
    <t>FIX</t>
  </si>
  <si>
    <t>Comfort Systems USA, Inc.</t>
  </si>
  <si>
    <t>MS</t>
  </si>
  <si>
    <t>Morgan Stanley</t>
  </si>
  <si>
    <t>PKG</t>
  </si>
  <si>
    <t>Packaging Corporation of America</t>
  </si>
  <si>
    <t>CAH</t>
  </si>
  <si>
    <t>Cardinal Health, Inc.</t>
  </si>
  <si>
    <t>LLY</t>
  </si>
  <si>
    <t>Eli Lilly and Company</t>
  </si>
  <si>
    <t>KLAC</t>
  </si>
  <si>
    <t>KLA Corporation</t>
  </si>
  <si>
    <t>GLW</t>
  </si>
  <si>
    <t>Corning Incorporated</t>
  </si>
  <si>
    <t>PSA</t>
  </si>
  <si>
    <t>Public Storage</t>
  </si>
  <si>
    <t>FAST</t>
  </si>
  <si>
    <t>Fastenal Company</t>
  </si>
  <si>
    <t>FRT</t>
  </si>
  <si>
    <t>Federal Realty Investment Trust</t>
  </si>
  <si>
    <t>CRWD</t>
  </si>
  <si>
    <t>CrowdStrike Holdings, Inc.</t>
  </si>
  <si>
    <t>CMI</t>
  </si>
  <si>
    <t>Cummins Inc.</t>
  </si>
  <si>
    <t>LRCX</t>
  </si>
  <si>
    <t>Lam Research Corporation</t>
  </si>
  <si>
    <t>STX</t>
  </si>
  <si>
    <t>Seagate Technology Holdings plc</t>
  </si>
  <si>
    <t>CINF</t>
  </si>
  <si>
    <t>Cincinnati Financial Corporation</t>
  </si>
  <si>
    <t>CVX</t>
  </si>
  <si>
    <t>Chevron Corporation</t>
  </si>
  <si>
    <t>PWR</t>
  </si>
  <si>
    <t>Quanta Services, Inc.</t>
  </si>
  <si>
    <t>DUK</t>
  </si>
  <si>
    <t>Duke Energy Corporation</t>
  </si>
  <si>
    <t>ETR</t>
  </si>
  <si>
    <t>Entergy Corporation</t>
  </si>
  <si>
    <t>IBKR</t>
  </si>
  <si>
    <t>Interactive Brokers Group, Inc.</t>
  </si>
  <si>
    <t>OKE</t>
  </si>
  <si>
    <t>ONEOK, Inc.</t>
  </si>
  <si>
    <t>CNP</t>
  </si>
  <si>
    <t>CenterPoint Energy, Inc.</t>
  </si>
  <si>
    <t>EVRG</t>
  </si>
  <si>
    <t>Evergy, Inc.</t>
  </si>
  <si>
    <t>WMB</t>
  </si>
  <si>
    <t>The Williams Companies, Inc.</t>
  </si>
  <si>
    <t>TXN</t>
  </si>
  <si>
    <t>Texas Instruments Incorporated</t>
  </si>
  <si>
    <t>DVN</t>
  </si>
  <si>
    <t>Devon Energy Corporation</t>
  </si>
  <si>
    <t>COP</t>
  </si>
  <si>
    <t>ConocoPhillips</t>
  </si>
  <si>
    <t>NUE</t>
  </si>
  <si>
    <t>Nucor Corporation</t>
  </si>
  <si>
    <t>TDG</t>
  </si>
  <si>
    <t>TransDigm Group Incorporated</t>
  </si>
  <si>
    <t>KEYS</t>
  </si>
  <si>
    <t>Keysight Technologies, Inc.</t>
  </si>
  <si>
    <t>XEL</t>
  </si>
  <si>
    <t>Xcel Energy Inc.</t>
  </si>
  <si>
    <t>BEN</t>
  </si>
  <si>
    <t>Franklin Resources, Inc.</t>
  </si>
  <si>
    <t>NI</t>
  </si>
  <si>
    <t>NiSource Inc.</t>
  </si>
  <si>
    <t>RL</t>
  </si>
  <si>
    <t>Ralph Lauren Corporation</t>
  </si>
  <si>
    <t>WY</t>
  </si>
  <si>
    <t>Weyerhaeuser Company</t>
  </si>
  <si>
    <t>EQIX</t>
  </si>
  <si>
    <t>Equinix, Inc.</t>
  </si>
  <si>
    <t>TGT</t>
  </si>
  <si>
    <t>Target Corporation</t>
  </si>
  <si>
    <t>ADI</t>
  </si>
  <si>
    <t>Analog Devices, Inc.</t>
  </si>
  <si>
    <t>IP</t>
  </si>
  <si>
    <t>International Paper Company</t>
  </si>
  <si>
    <t>WEC</t>
  </si>
  <si>
    <t>WEC Energy Group, Inc.</t>
  </si>
  <si>
    <t>HRL</t>
  </si>
  <si>
    <t>Hormel Foods Corporation</t>
  </si>
  <si>
    <t>MAR</t>
  </si>
  <si>
    <t>Marriott International, Inc.</t>
  </si>
  <si>
    <t>PHM</t>
  </si>
  <si>
    <t>PulteGroup, Inc.</t>
  </si>
  <si>
    <t>FFIV</t>
  </si>
  <si>
    <t>F5, Inc.</t>
  </si>
  <si>
    <t>KO</t>
  </si>
  <si>
    <t>The Coca-Cola Company</t>
  </si>
  <si>
    <t>CPAY</t>
  </si>
  <si>
    <t>Corpay, Inc.</t>
  </si>
  <si>
    <t>MAA</t>
  </si>
  <si>
    <t>Mid-America Apartment Communities, Inc.</t>
  </si>
  <si>
    <t>NTRS</t>
  </si>
  <si>
    <t>Northern Trust Corporation</t>
  </si>
  <si>
    <t>SRE</t>
  </si>
  <si>
    <t>Sempra</t>
  </si>
  <si>
    <t>EBAY</t>
  </si>
  <si>
    <t>eBay Inc.</t>
  </si>
  <si>
    <t>SYF</t>
  </si>
  <si>
    <t>Synchrony Financial</t>
  </si>
  <si>
    <t>BIIB</t>
  </si>
  <si>
    <t>Biogen Inc.</t>
  </si>
  <si>
    <t>TSN</t>
  </si>
  <si>
    <t>Tyson Foods, Inc.</t>
  </si>
  <si>
    <t>BRK-B</t>
  </si>
  <si>
    <t>Berkshire Hathaway Inc.</t>
  </si>
  <si>
    <t>XYL</t>
  </si>
  <si>
    <t>Xylem Inc.</t>
  </si>
  <si>
    <t>MCHP</t>
  </si>
  <si>
    <t>Microchip Technology Incorporated</t>
  </si>
  <si>
    <t>LMT</t>
  </si>
  <si>
    <t>Lockheed Martin Corporation</t>
  </si>
  <si>
    <t>QCOM</t>
  </si>
  <si>
    <t>QUALCOMM Incorporated</t>
  </si>
  <si>
    <t>HAS</t>
  </si>
  <si>
    <t>Hasbro, Inc.</t>
  </si>
  <si>
    <t>BKR</t>
  </si>
  <si>
    <t>Baker Hughes Company</t>
  </si>
  <si>
    <t>PPL</t>
  </si>
  <si>
    <t>PPL Corporation</t>
  </si>
  <si>
    <t>LOW</t>
  </si>
  <si>
    <t>Lowe's Companies, Inc.</t>
  </si>
  <si>
    <t>CL</t>
  </si>
  <si>
    <t>Colgate-Palmolive Company</t>
  </si>
  <si>
    <t>IBM</t>
  </si>
  <si>
    <t>International Business Machines Corporation</t>
  </si>
  <si>
    <t>COF</t>
  </si>
  <si>
    <t>Capital One Financial Corporation</t>
  </si>
  <si>
    <t>Q</t>
  </si>
  <si>
    <t>Qnity Electronics, Inc.</t>
  </si>
  <si>
    <t>EQR</t>
  </si>
  <si>
    <t>Equity Residential</t>
  </si>
  <si>
    <t>IFF</t>
  </si>
  <si>
    <t>International Flavors &amp; Fragrances Inc.</t>
  </si>
  <si>
    <t>LUV</t>
  </si>
  <si>
    <t>Southwest Airlines Co.</t>
  </si>
  <si>
    <t>HUBB</t>
  </si>
  <si>
    <t>Hubbell Incorporated</t>
  </si>
  <si>
    <t>FTV</t>
  </si>
  <si>
    <t>Fortive Corporation</t>
  </si>
  <si>
    <t>HLT</t>
  </si>
  <si>
    <t>Hilton Worldwide Holdings Inc.</t>
  </si>
  <si>
    <t>FSLR</t>
  </si>
  <si>
    <t>First Solar, Inc.</t>
  </si>
  <si>
    <t>NWSA</t>
  </si>
  <si>
    <t>News Corporation</t>
  </si>
  <si>
    <t>UDR</t>
  </si>
  <si>
    <t>UDR, Inc.</t>
  </si>
  <si>
    <t>FDX</t>
  </si>
  <si>
    <t>FedEx Corporation</t>
  </si>
  <si>
    <t>AMT</t>
  </si>
  <si>
    <t>American Tower Corporation</t>
  </si>
  <si>
    <t>HAL</t>
  </si>
  <si>
    <t>Halliburton Company</t>
  </si>
  <si>
    <t>T</t>
  </si>
  <si>
    <t>AT&amp;T Inc.</t>
  </si>
  <si>
    <t>ELV</t>
  </si>
  <si>
    <t>Elevance Health, Inc.</t>
  </si>
  <si>
    <t>VZ</t>
  </si>
  <si>
    <t>Verizon Communications Inc.</t>
  </si>
  <si>
    <t>PH</t>
  </si>
  <si>
    <t>Parker-Hannifin Corporation</t>
  </si>
  <si>
    <t>LEN</t>
  </si>
  <si>
    <t>Lennar Corporation</t>
  </si>
  <si>
    <t>GOOGL</t>
  </si>
  <si>
    <t>Alphabet Inc.</t>
  </si>
  <si>
    <t>GOOG</t>
  </si>
  <si>
    <t>NXPI</t>
  </si>
  <si>
    <t>NXP Semiconductors N.V.</t>
  </si>
  <si>
    <t>APO</t>
  </si>
  <si>
    <t>Apollo Global Management, Inc.</t>
  </si>
  <si>
    <t>CARR</t>
  </si>
  <si>
    <t>Carrier Global Corporation</t>
  </si>
  <si>
    <t>DASH</t>
  </si>
  <si>
    <t>DoorDash, Inc.</t>
  </si>
  <si>
    <t>LII</t>
  </si>
  <si>
    <t>Lennox International Inc.</t>
  </si>
  <si>
    <t>AMZN</t>
  </si>
  <si>
    <t>Amazon.com, Inc.</t>
  </si>
  <si>
    <t>HBAN</t>
  </si>
  <si>
    <t>Huntington Bancshares Incorporated</t>
  </si>
  <si>
    <t>GE</t>
  </si>
  <si>
    <t>GE Aerospace</t>
  </si>
  <si>
    <t>WAT</t>
  </si>
  <si>
    <t>Waters Corporation</t>
  </si>
  <si>
    <t>NEE</t>
  </si>
  <si>
    <t>NextEra Energy, Inc.</t>
  </si>
  <si>
    <t>VST</t>
  </si>
  <si>
    <t>Vistra Corp.</t>
  </si>
  <si>
    <t>VMC</t>
  </si>
  <si>
    <t>Vulcan Materials Company</t>
  </si>
  <si>
    <t>SLB</t>
  </si>
  <si>
    <t>SLB N.V.</t>
  </si>
  <si>
    <t>SYK</t>
  </si>
  <si>
    <t>Stryker Corporation</t>
  </si>
  <si>
    <t>SNPS</t>
  </si>
  <si>
    <t>Synopsys, Inc.</t>
  </si>
  <si>
    <t>WFC</t>
  </si>
  <si>
    <t>Wells Fargo &amp; Company</t>
  </si>
  <si>
    <t>NWS</t>
  </si>
  <si>
    <t>NRG</t>
  </si>
  <si>
    <t>NRG Energy, Inc.</t>
  </si>
  <si>
    <t>ABT</t>
  </si>
  <si>
    <t>Abbott Laboratories</t>
  </si>
  <si>
    <t>ATO</t>
  </si>
  <si>
    <t>Atmos Energy Corporation</t>
  </si>
  <si>
    <t>ARES</t>
  </si>
  <si>
    <t>Ares Management Corporation</t>
  </si>
  <si>
    <t>EXE</t>
  </si>
  <si>
    <t>Expand Energy Corporation</t>
  </si>
  <si>
    <t>GILD</t>
  </si>
  <si>
    <t>Gilead Sciences, Inc.</t>
  </si>
  <si>
    <t>MCK</t>
  </si>
  <si>
    <t>McKesson Corporation</t>
  </si>
  <si>
    <t>CCL</t>
  </si>
  <si>
    <t>Carnival Corporation Ltd.</t>
  </si>
  <si>
    <t>OMC</t>
  </si>
  <si>
    <t>Omnicom Group Inc.</t>
  </si>
  <si>
    <t>ON</t>
  </si>
  <si>
    <t>ON Semiconductor Corporation</t>
  </si>
  <si>
    <t>FE</t>
  </si>
  <si>
    <t>FirstEnergy Corp.</t>
  </si>
  <si>
    <t>PRU</t>
  </si>
  <si>
    <t>Prudential Financial, Inc.</t>
  </si>
  <si>
    <t>NOW</t>
  </si>
  <si>
    <t>ServiceNow, Inc.</t>
  </si>
  <si>
    <t>BLK</t>
  </si>
  <si>
    <t>BlackRock, Inc.</t>
  </si>
  <si>
    <t>GRMN</t>
  </si>
  <si>
    <t>Garmin Ltd.</t>
  </si>
  <si>
    <t>MCD</t>
  </si>
  <si>
    <t>McDonald's Corporation</t>
  </si>
  <si>
    <t>ZTS</t>
  </si>
  <si>
    <t>Zoetis Inc.</t>
  </si>
  <si>
    <t>AXP</t>
  </si>
  <si>
    <t>American Express Company</t>
  </si>
  <si>
    <t>BNY</t>
  </si>
  <si>
    <t>The Bank of New York Mellon Corporation</t>
  </si>
  <si>
    <t>MSCI</t>
  </si>
  <si>
    <t>MSCI Inc.</t>
  </si>
  <si>
    <t>HON</t>
  </si>
  <si>
    <t>Honeywell International Inc.</t>
  </si>
  <si>
    <t>WTW</t>
  </si>
  <si>
    <t>Willis Towers Watson Public Limited Company</t>
  </si>
  <si>
    <t>EQT</t>
  </si>
  <si>
    <t>EQT Corporation</t>
  </si>
  <si>
    <t>ALLE</t>
  </si>
  <si>
    <t>Allegion plc</t>
  </si>
  <si>
    <t>DECK</t>
  </si>
  <si>
    <t>Deckers Outdoor Corporation</t>
  </si>
  <si>
    <t>MRSH</t>
  </si>
  <si>
    <t>Marsh &amp; McLennan Companies, Inc.</t>
  </si>
  <si>
    <t>DRI</t>
  </si>
  <si>
    <t>Darden Restaurants, Inc.</t>
  </si>
  <si>
    <t>CEG</t>
  </si>
  <si>
    <t>Constellation Energy Corporation</t>
  </si>
  <si>
    <t>FIS</t>
  </si>
  <si>
    <t>Fidelity National Information Services, Inc.</t>
  </si>
  <si>
    <t>COR</t>
  </si>
  <si>
    <t>Cencora, Inc.</t>
  </si>
  <si>
    <t>PFE</t>
  </si>
  <si>
    <t>Pfizer Inc.</t>
  </si>
  <si>
    <t>TSCO</t>
  </si>
  <si>
    <t>Tractor Supply Company</t>
  </si>
  <si>
    <t>AMCR</t>
  </si>
  <si>
    <t>Amcor plc</t>
  </si>
  <si>
    <t>GNRC</t>
  </si>
  <si>
    <t>Generac Holdings Inc.</t>
  </si>
  <si>
    <t>DPZ</t>
  </si>
  <si>
    <t>Domino's Pizza, Inc.</t>
  </si>
  <si>
    <t>MDT</t>
  </si>
  <si>
    <t>Medtronic plc</t>
  </si>
  <si>
    <t>CDW</t>
  </si>
  <si>
    <t>CDW Corporation</t>
  </si>
  <si>
    <t>ARE</t>
  </si>
  <si>
    <t>Alexandria Real Estate Equities, Inc.</t>
  </si>
  <si>
    <t>CDNS</t>
  </si>
  <si>
    <t>Cadence Design Systems, Inc.</t>
  </si>
  <si>
    <t>UBER</t>
  </si>
  <si>
    <t>Uber Technologies, Inc.</t>
  </si>
  <si>
    <t>MSI</t>
  </si>
  <si>
    <t>Motorola Solutions, Inc.</t>
  </si>
  <si>
    <t>AZO</t>
  </si>
  <si>
    <t>AutoZone, Inc.</t>
  </si>
  <si>
    <t>NDAQ</t>
  </si>
  <si>
    <t>Nasdaq, Inc.</t>
  </si>
  <si>
    <t>REGN</t>
  </si>
  <si>
    <t>Regeneron Pharmaceuticals, Inc.</t>
  </si>
  <si>
    <t>CBRE</t>
  </si>
  <si>
    <t>CBRE Group, Inc.</t>
  </si>
  <si>
    <t>PAYX</t>
  </si>
  <si>
    <t>Paychex, Inc.</t>
  </si>
  <si>
    <t>BKNG</t>
  </si>
  <si>
    <t>Booking Holdings Inc.</t>
  </si>
  <si>
    <t>AES</t>
  </si>
  <si>
    <t>The AES Corporation</t>
  </si>
  <si>
    <t>CRM</t>
  </si>
  <si>
    <t>Salesforce, Inc.</t>
  </si>
  <si>
    <t>DOV</t>
  </si>
  <si>
    <t>Dover Corporation</t>
  </si>
  <si>
    <t>TSLA</t>
  </si>
  <si>
    <t>Tesla, Inc.</t>
  </si>
  <si>
    <t>FOXA</t>
  </si>
  <si>
    <t>TEL</t>
  </si>
  <si>
    <t>TE Connectivity plc</t>
  </si>
  <si>
    <t>GIS</t>
  </si>
  <si>
    <t>General Mills, Inc.</t>
  </si>
  <si>
    <t>CTSH</t>
  </si>
  <si>
    <t>Cognizant Technology Solutions Corporation</t>
  </si>
  <si>
    <t>TAP</t>
  </si>
  <si>
    <t>Molson Coors Beverage Company</t>
  </si>
  <si>
    <t>FICO</t>
  </si>
  <si>
    <t>Fair Isaac Corporation</t>
  </si>
  <si>
    <t>NOC</t>
  </si>
  <si>
    <t>Northrop Grumman Corporation</t>
  </si>
  <si>
    <t>CMG</t>
  </si>
  <si>
    <t>Chipotle Mexican Grill, Inc.</t>
  </si>
  <si>
    <t>SMCI</t>
  </si>
  <si>
    <t>Super Micro Computer, Inc.</t>
  </si>
  <si>
    <t>KKR</t>
  </si>
  <si>
    <t>KKR &amp; Co. Inc.</t>
  </si>
  <si>
    <t>CAG</t>
  </si>
  <si>
    <t>Conagra Brands, Inc.</t>
  </si>
  <si>
    <t>FDXF</t>
  </si>
  <si>
    <t>FedEx Freight Holding Company, Inc.</t>
  </si>
  <si>
    <t>SBAC</t>
  </si>
  <si>
    <t>SBA Communications Corporation</t>
  </si>
  <si>
    <t>RMD</t>
  </si>
  <si>
    <t>ResMed Inc.</t>
  </si>
  <si>
    <t>INTU</t>
  </si>
  <si>
    <t>Intuit Inc.</t>
  </si>
  <si>
    <t>MKC</t>
  </si>
  <si>
    <t>McCormick &amp; Company, Incorporated</t>
  </si>
  <si>
    <t>NKE</t>
  </si>
  <si>
    <t>NIKE, Inc.</t>
  </si>
  <si>
    <t>DG</t>
  </si>
  <si>
    <t>Dollar General Corporation</t>
  </si>
  <si>
    <t>UHS</t>
  </si>
  <si>
    <t>Universal Health Services, Inc.</t>
  </si>
  <si>
    <t>GDDY</t>
  </si>
  <si>
    <t>GoDaddy Inc.</t>
  </si>
  <si>
    <t>EFX</t>
  </si>
  <si>
    <t>Equifax Inc.</t>
  </si>
  <si>
    <t>EL</t>
  </si>
  <si>
    <t>The EstÃ©e Lauder Companies Inc.</t>
  </si>
  <si>
    <t>JKHY</t>
  </si>
  <si>
    <t>Jack Henry &amp; Associates, Inc.</t>
  </si>
  <si>
    <t>VRSK</t>
  </si>
  <si>
    <t>Verisk Analytics, Inc.</t>
  </si>
  <si>
    <t>EW</t>
  </si>
  <si>
    <t>Edwards Lifesciences Corporation</t>
  </si>
  <si>
    <t>GPN</t>
  </si>
  <si>
    <t>Global Payments Inc.</t>
  </si>
  <si>
    <t>PODD</t>
  </si>
  <si>
    <t>Insulet Corporation</t>
  </si>
  <si>
    <t>NCLH</t>
  </si>
  <si>
    <t>Norwegian Cruise Line Holdings Ltd.</t>
  </si>
  <si>
    <t>BRO</t>
  </si>
  <si>
    <t>Brown &amp; Brown, Inc.</t>
  </si>
  <si>
    <t>ADBE</t>
  </si>
  <si>
    <t>Adobe Inc.</t>
  </si>
  <si>
    <t>FDS</t>
  </si>
  <si>
    <t>FactSet Research Systems Inc.</t>
  </si>
  <si>
    <t>ROP</t>
  </si>
  <si>
    <t>Roper Technologies, Inc.</t>
  </si>
  <si>
    <t>NVR</t>
  </si>
  <si>
    <t>NVR, Inc.</t>
  </si>
  <si>
    <t>VEEV</t>
  </si>
  <si>
    <t>Veeva Systems Inc.</t>
  </si>
  <si>
    <t>LULU</t>
  </si>
  <si>
    <t>lululemon athletica inc.</t>
  </si>
  <si>
    <t>IT</t>
  </si>
  <si>
    <t>Gartner, Inc.</t>
  </si>
  <si>
    <t>IHF</t>
  </si>
  <si>
    <t>ETF</t>
  </si>
  <si>
    <t>iShares U.S. Healthcare Providers ETF</t>
  </si>
  <si>
    <t>14.13% (SELL PUT, exp 20260821)</t>
  </si>
  <si>
    <t>IYK</t>
  </si>
  <si>
    <t>iShares U.S. Consumer Staples ETF</t>
  </si>
  <si>
    <t>6.85% (SELL PUT, exp 20260821)</t>
  </si>
  <si>
    <t>SVAL</t>
  </si>
  <si>
    <t>iShares US Small Cap Value Factor ETF</t>
  </si>
  <si>
    <t>XLE</t>
  </si>
  <si>
    <t>State Street Energy Select Sector SPDR ETF</t>
  </si>
  <si>
    <t>RPV</t>
  </si>
  <si>
    <t>Invesco S&amp;P 500 Pure Value ETF</t>
  </si>
  <si>
    <t>UYG</t>
  </si>
  <si>
    <t>ProShares Ultra Financials</t>
  </si>
  <si>
    <t>IYE</t>
  </si>
  <si>
    <t>iShares U.S. Energy ETF</t>
  </si>
  <si>
    <t>DIVB</t>
  </si>
  <si>
    <t>iShares Core Dividend ETF</t>
  </si>
  <si>
    <t>RLY</t>
  </si>
  <si>
    <t>State Street Multi-Asset Real Return ETF</t>
  </si>
  <si>
    <t>IAK</t>
  </si>
  <si>
    <t>iShares U.S. Insurance ETF</t>
  </si>
  <si>
    <t>IAT</t>
  </si>
  <si>
    <t>iShares U.S. Regional Banks ETF</t>
  </si>
  <si>
    <t>DIG</t>
  </si>
  <si>
    <t>ProShares Ultra Energy</t>
  </si>
  <si>
    <t>HDV</t>
  </si>
  <si>
    <t>iShares Core High Dividend ETF</t>
  </si>
  <si>
    <t>SPHD</t>
  </si>
  <si>
    <t>Invesco S&amp;P 500 High Dividend Low Volatility ETF</t>
  </si>
  <si>
    <t>KBE</t>
  </si>
  <si>
    <t>State Street SPDR S&amp;P Bank ETF</t>
  </si>
  <si>
    <t>ROKT</t>
  </si>
  <si>
    <t>State Street SPDR S&amp;P Kensho Final Frontiers ETF</t>
  </si>
  <si>
    <t>FXU</t>
  </si>
  <si>
    <t>First Trust Utilities AlphaDEX Fund</t>
  </si>
  <si>
    <t>KRE</t>
  </si>
  <si>
    <t>State Street SPDR S&amp;P Regional Banking ETF</t>
  </si>
  <si>
    <t>ONEY</t>
  </si>
  <si>
    <t>State Street SPDR Russell 1000 Yield Focus ETF</t>
  </si>
  <si>
    <t>IHE</t>
  </si>
  <si>
    <t>iShares U.S. Pharmaceuticals ETF</t>
  </si>
  <si>
    <t>DVY</t>
  </si>
  <si>
    <t>iShares Select Dividend ETF</t>
  </si>
  <si>
    <t>PEY</t>
  </si>
  <si>
    <t>Invesco High Yield Equity Dividend Achievers ETF</t>
  </si>
  <si>
    <t>SPYD</t>
  </si>
  <si>
    <t>State Street SPDR Portfolio S&amp;P 500 High Dividend ETF</t>
  </si>
  <si>
    <t>DFAR</t>
  </si>
  <si>
    <t>Dimensional US Real Estate ETF</t>
  </si>
  <si>
    <t>FCG</t>
  </si>
  <si>
    <t>First Trust Natural Gas ETF</t>
  </si>
  <si>
    <t>SPLV</t>
  </si>
  <si>
    <t>Invesco S&amp;P 500 Low Volatility ETF</t>
  </si>
  <si>
    <t>VYM</t>
  </si>
  <si>
    <t>Vanguard High Dividend Yield Index ETF</t>
  </si>
  <si>
    <t>USRT</t>
  </si>
  <si>
    <t>iShares Core U.S. REIT ETF</t>
  </si>
  <si>
    <t>SDY</t>
  </si>
  <si>
    <t>State Street SPDR S&amp;P Dividend ETF</t>
  </si>
  <si>
    <t>RSPG</t>
  </si>
  <si>
    <t>Invesco S&amp;P 500 Equal Weight Energy ETF</t>
  </si>
  <si>
    <t>FTHI</t>
  </si>
  <si>
    <t>First Trust BuyWrite Income ETF</t>
  </si>
  <si>
    <t>SPVM</t>
  </si>
  <si>
    <t>Invesco S&amp;P 500 Value with Momentum ETF</t>
  </si>
  <si>
    <t>VNQ</t>
  </si>
  <si>
    <t>Vanguard Real Estate ETF</t>
  </si>
  <si>
    <t>SMDV</t>
  </si>
  <si>
    <t>ProShares Russell 2000 Dividend Growers ETF</t>
  </si>
  <si>
    <t>ICF</t>
  </si>
  <si>
    <t>iShares Select U.S. REIT ETF</t>
  </si>
  <si>
    <t>TBF</t>
  </si>
  <si>
    <t>Proshares Short 20+ Year Treasury</t>
  </si>
  <si>
    <t>IGE</t>
  </si>
  <si>
    <t>iShares North American Natural Resources ETF</t>
  </si>
  <si>
    <t>XPH</t>
  </si>
  <si>
    <t>State Street SPDR S&amp;P Pharmaceuticals ETF</t>
  </si>
  <si>
    <t>VFMF</t>
  </si>
  <si>
    <t>Vanguard U.S. Multifactor ETF</t>
  </si>
  <si>
    <t>DFAT</t>
  </si>
  <si>
    <t>Dimensional U.S. Targeted Value ETF</t>
  </si>
  <si>
    <t>MVV</t>
  </si>
  <si>
    <t>ProShares Ultra MidCap400</t>
  </si>
  <si>
    <t>FELV</t>
  </si>
  <si>
    <t>Fidelity Enhanced Large Cap Value ETF</t>
  </si>
  <si>
    <t>XSVM</t>
  </si>
  <si>
    <t>Invesco S&amp;P SmallCap Value with Momentum ETF</t>
  </si>
  <si>
    <t>IWN</t>
  </si>
  <si>
    <t>iShares Russell 2000 Value ETF</t>
  </si>
  <si>
    <t>IYF</t>
  </si>
  <si>
    <t>iShares U.S. Financials ETF</t>
  </si>
  <si>
    <t>RWL</t>
  </si>
  <si>
    <t>Invesco S&amp;P 500 Revenue ETF</t>
  </si>
  <si>
    <t>NOBL</t>
  </si>
  <si>
    <t>ProShares S&amp;P 500 Dividend Aristocrats ETF</t>
  </si>
  <si>
    <t>SRLN</t>
  </si>
  <si>
    <t>State Street Blackstone Senior Loan ETF</t>
  </si>
  <si>
    <t>DFUV</t>
  </si>
  <si>
    <t>Dimensional US Marketwide Value ETF</t>
  </si>
  <si>
    <t>FTXH</t>
  </si>
  <si>
    <t>First Trust Nasdaq Pharmaceuticals ETF</t>
  </si>
  <si>
    <t>XNTK</t>
  </si>
  <si>
    <t>State Street SPDR NYSE Technology ETF</t>
  </si>
  <si>
    <t>FSMD</t>
  </si>
  <si>
    <t>Fidelity Small-Mid Multifactor ETF</t>
  </si>
  <si>
    <t>MGV</t>
  </si>
  <si>
    <t>Vanguard Mega Cap Value ETF</t>
  </si>
  <si>
    <t>IAI</t>
  </si>
  <si>
    <t>iShares U.S. Broker-Dealers &amp; Securities Exchanges ETF</t>
  </si>
  <si>
    <t>VHT</t>
  </si>
  <si>
    <t>Vanguard Health Care ETF</t>
  </si>
  <si>
    <t>IWD</t>
  </si>
  <si>
    <t>iShares Russell 1000 Value ETF</t>
  </si>
  <si>
    <t>IEO</t>
  </si>
  <si>
    <t>iShares U.S. Oil &amp; Gas Exploration &amp; Production ETF</t>
  </si>
  <si>
    <t>FTXR</t>
  </si>
  <si>
    <t>First Trust Nasdaq Transportation ETF</t>
  </si>
  <si>
    <t>XLK</t>
  </si>
  <si>
    <t>State Street Technology Select Sector SPDR ETF</t>
  </si>
  <si>
    <t>VBR</t>
  </si>
  <si>
    <t>Vanguard Small Cap Value ETF</t>
  </si>
  <si>
    <t>KIE</t>
  </si>
  <si>
    <t>State Street SPDR S&amp;P Insurance ETF</t>
  </si>
  <si>
    <t>GPIX</t>
  </si>
  <si>
    <t>Goldman Sachs S&amp;P 500 Premium Income ETF</t>
  </si>
  <si>
    <t>VB</t>
  </si>
  <si>
    <t>Vanguard Small-Cap ETF</t>
  </si>
  <si>
    <t>IJS</t>
  </si>
  <si>
    <t>iShares S&amp;P Small-Cap 600 Value ETF</t>
  </si>
  <si>
    <t>IWS</t>
  </si>
  <si>
    <t>iShares Russell Mid-Cap Value ETF</t>
  </si>
  <si>
    <t>FIDU</t>
  </si>
  <si>
    <t>Fidelity MSCI Industrial Index ETF</t>
  </si>
  <si>
    <t>XLI</t>
  </si>
  <si>
    <t>State Street Industrial Select Sector SPDR ETF</t>
  </si>
  <si>
    <t>VFH</t>
  </si>
  <si>
    <t>Vanguard Financials ETF</t>
  </si>
  <si>
    <t>XLP</t>
  </si>
  <si>
    <t>State Street Consumer Staples Select Sector SPDR ETF</t>
  </si>
  <si>
    <t>VOE</t>
  </si>
  <si>
    <t>Vanguard Mid-Cap Value ETF</t>
  </si>
  <si>
    <t>XLRE</t>
  </si>
  <si>
    <t>State Street Real Estate Select Sector SPDR ETF</t>
  </si>
  <si>
    <t>EVUS</t>
  </si>
  <si>
    <t>iShares ESG Aware MSCI USA Value ETF</t>
  </si>
  <si>
    <t>MDYV</t>
  </si>
  <si>
    <t>State Street SPDR S&amp;P 400 Mid Cap Value ETF</t>
  </si>
  <si>
    <t>PKW</t>
  </si>
  <si>
    <t>Invesco Buyback Achievers ETF</t>
  </si>
  <si>
    <t>XOP</t>
  </si>
  <si>
    <t>State Street SPDR S&amp;P Oil &amp; Gas Exploration &amp; Production ETF</t>
  </si>
  <si>
    <t>PFM</t>
  </si>
  <si>
    <t>Invesco Dividend Achievers ETF</t>
  </si>
  <si>
    <t>IYT</t>
  </si>
  <si>
    <t>iShares US Transportation ETF</t>
  </si>
  <si>
    <t>VOOV</t>
  </si>
  <si>
    <t>Vanguard S&amp;P 500 Value ETF</t>
  </si>
  <si>
    <t>FELC</t>
  </si>
  <si>
    <t>Fidelity Enhanced Large Cap Core ETF</t>
  </si>
  <si>
    <t>XLV</t>
  </si>
  <si>
    <t>State Street Health Care Select Sector SPDR ETF</t>
  </si>
  <si>
    <t>VTWG</t>
  </si>
  <si>
    <t>Vanguard Russell 2000 Growth ETF</t>
  </si>
  <si>
    <t>SPHQ</t>
  </si>
  <si>
    <t>Invesco S&amp;P 500 Quality ETF</t>
  </si>
  <si>
    <t>DOG</t>
  </si>
  <si>
    <t>ProShares Short Dow30</t>
  </si>
  <si>
    <t>IJJ</t>
  </si>
  <si>
    <t>iShares S&amp;P Mid-Cap 400 Value ETF</t>
  </si>
  <si>
    <t>JAVA</t>
  </si>
  <si>
    <t>JPMorgan Active Value ETF</t>
  </si>
  <si>
    <t>IYH</t>
  </si>
  <si>
    <t>iShares U.S. Healthcare ETF</t>
  </si>
  <si>
    <t>GRPM</t>
  </si>
  <si>
    <t>Invesco S&amp;P MidCap 400 GARP ETF</t>
  </si>
  <si>
    <t>VCIT</t>
  </si>
  <si>
    <t>Vanguard Intermediate-Term Corporate Bond ETF</t>
  </si>
  <si>
    <t>IYJ</t>
  </si>
  <si>
    <t>iShares U.S. Industrials ETF</t>
  </si>
  <si>
    <t>EQAL</t>
  </si>
  <si>
    <t>Invesco Russell 1000 Equal Weight ETF</t>
  </si>
  <si>
    <t>FQAL</t>
  </si>
  <si>
    <t>Fidelity Quality Factor ETF</t>
  </si>
  <si>
    <t>SPYG</t>
  </si>
  <si>
    <t>State Street SPDR Portfolio S&amp;P 500 Growth ETF</t>
  </si>
  <si>
    <t>FTLS</t>
  </si>
  <si>
    <t>First Trust Long/Short Equity ETF</t>
  </si>
  <si>
    <t>XMHQ</t>
  </si>
  <si>
    <t>Invesco S&amp;P MidCap Quality ETF</t>
  </si>
  <si>
    <t>IWM</t>
  </si>
  <si>
    <t>iShares Russell 2000 ETF</t>
  </si>
  <si>
    <t>IBB</t>
  </si>
  <si>
    <t>iShares Biotechnology ETF</t>
  </si>
  <si>
    <t>VTV</t>
  </si>
  <si>
    <t>Vanguard Value ETF</t>
  </si>
  <si>
    <t>VAW</t>
  </si>
  <si>
    <t>Vanguard Materials ETF</t>
  </si>
  <si>
    <t>OMFL</t>
  </si>
  <si>
    <t>Invesco Russell 1000 Dynamic Multifactor ETF</t>
  </si>
  <si>
    <t>JVAL</t>
  </si>
  <si>
    <t>JPMorgan U.S. Value Factor ETF US Value Factor Fund</t>
  </si>
  <si>
    <t>URTY</t>
  </si>
  <si>
    <t>ProShares UltraPro Russell2000</t>
  </si>
  <si>
    <t>FTCS</t>
  </si>
  <si>
    <t>First Trust Capital Strength ETF</t>
  </si>
  <si>
    <t>GSEW</t>
  </si>
  <si>
    <t>Goldman Sachs Equal Weight U.S. Large Cap Equity ETF</t>
  </si>
  <si>
    <t>DFAS</t>
  </si>
  <si>
    <t>Dimensional U.S. Small Cap ETF</t>
  </si>
  <si>
    <t>FXH</t>
  </si>
  <si>
    <t>First Trust Health Care AlphaDEX Fund</t>
  </si>
  <si>
    <t>EUSA</t>
  </si>
  <si>
    <t>iShares MSCI USA Equal Weighted ETF</t>
  </si>
  <si>
    <t>PEJ</t>
  </si>
  <si>
    <t>Invesco Leisure and Entertainment ETF</t>
  </si>
  <si>
    <t>TIP</t>
  </si>
  <si>
    <t>iShares TIPS Bond ETF</t>
  </si>
  <si>
    <t>SPYM</t>
  </si>
  <si>
    <t>State Street SPDR Portfolio S&amp;P 500 ETF</t>
  </si>
  <si>
    <t>QQQJ</t>
  </si>
  <si>
    <t>Invesco NASDAQ Next Gen 100 ETF</t>
  </si>
  <si>
    <t>HYG</t>
  </si>
  <si>
    <t>iShares iBoxx $ High Yield Corporate Bond ETF</t>
  </si>
  <si>
    <t>DFAU</t>
  </si>
  <si>
    <t>Dimensional US Core Equity Market ETF</t>
  </si>
  <si>
    <t>VDC</t>
  </si>
  <si>
    <t>Vanguard Consumer Staples ETF</t>
  </si>
  <si>
    <t>RSP</t>
  </si>
  <si>
    <t>Invesco S&amp;P 500 Equal Weight ETF</t>
  </si>
  <si>
    <t>RSPH</t>
  </si>
  <si>
    <t>Invesco S&amp;P 500 Equal Weight Health Care ETF</t>
  </si>
  <si>
    <t>USMV</t>
  </si>
  <si>
    <t>iShares MSCI USA Min Vol Factor ETF</t>
  </si>
  <si>
    <t>BIV</t>
  </si>
  <si>
    <t>Vanguard Intermediate-Term Bond ETF</t>
  </si>
  <si>
    <t>IWY</t>
  </si>
  <si>
    <t>iShares Russell Top 200 Growth ETF</t>
  </si>
  <si>
    <t>EFIV</t>
  </si>
  <si>
    <t>State Street SPDR S&amp;P 500 ESG ETF</t>
  </si>
  <si>
    <t>FV</t>
  </si>
  <si>
    <t>First Trust Dorsey Wright Focus 5 ETF</t>
  </si>
  <si>
    <t>SPIB</t>
  </si>
  <si>
    <t>State Street SPDR Portfolio Intermediate Term Corporate Bond ETF</t>
  </si>
  <si>
    <t>SJNK</t>
  </si>
  <si>
    <t>State Street SPDR Bloomberg Short Term High Yield Bond ETF</t>
  </si>
  <si>
    <t>SPHY</t>
  </si>
  <si>
    <t>State Street SPDR Portfolio High Yield Bond ETF</t>
  </si>
  <si>
    <t>DFUS</t>
  </si>
  <si>
    <t>Dimensional U.S. Equity Market ETF</t>
  </si>
  <si>
    <t>VO</t>
  </si>
  <si>
    <t>Vanguard Mid-Cap ETF</t>
  </si>
  <si>
    <t>XRT</t>
  </si>
  <si>
    <t>State Street SPDR S&amp;P Retail ETF</t>
  </si>
  <si>
    <t>SPSM</t>
  </si>
  <si>
    <t>State Street SPDR Portfolio S&amp;P 600 Small Cap ETF</t>
  </si>
  <si>
    <t>ESGV</t>
  </si>
  <si>
    <t>Vanguard ESG U.S. Stock ETF</t>
  </si>
  <si>
    <t>IJR</t>
  </si>
  <si>
    <t>iShares Core S&amp;P Small Cap ETF</t>
  </si>
  <si>
    <t>SLYG</t>
  </si>
  <si>
    <t>State Street SPDR S&amp;P 600 Small Cap Growth ETF</t>
  </si>
  <si>
    <t>XTN</t>
  </si>
  <si>
    <t>State Street SPDR S&amp;P Transportation ETF</t>
  </si>
  <si>
    <t>JQUA</t>
  </si>
  <si>
    <t>JPMorgan U.S. Quality Factor ETF</t>
  </si>
  <si>
    <t>VTI</t>
  </si>
  <si>
    <t>Vanguard Total Stock Market ETF</t>
  </si>
  <si>
    <t>VUG</t>
  </si>
  <si>
    <t>Vanguard Growth ETF</t>
  </si>
  <si>
    <t>IWB</t>
  </si>
  <si>
    <t>iShares Russell 1000 ETF</t>
  </si>
  <si>
    <t>PXJ</t>
  </si>
  <si>
    <t>Invesco Oil &amp; Gas Services ETF</t>
  </si>
  <si>
    <t>FELG</t>
  </si>
  <si>
    <t>Fidelity Enhanced Large Cap Growth ETF</t>
  </si>
  <si>
    <t>IYC</t>
  </si>
  <si>
    <t>iShares U.S. Consumer Discretionary ETF</t>
  </si>
  <si>
    <t>UWM</t>
  </si>
  <si>
    <t>ProShares Ultra Russell2000</t>
  </si>
  <si>
    <t>BKLN</t>
  </si>
  <si>
    <t>Invesco Senior Loan ETF</t>
  </si>
  <si>
    <t>DDM</t>
  </si>
  <si>
    <t>ProShares Ultra Dow30</t>
  </si>
  <si>
    <t>XES</t>
  </si>
  <si>
    <t>State Street SPDR S&amp;P Oil &amp; Gas Equipment &amp; Services ETF</t>
  </si>
  <si>
    <t>FSTA</t>
  </si>
  <si>
    <t>Fidelity MSCI Consumer Staples Index ETF</t>
  </si>
  <si>
    <t>MBB</t>
  </si>
  <si>
    <t>iShares MBS ETF</t>
  </si>
  <si>
    <t>FXO</t>
  </si>
  <si>
    <t>First Trust Financials AlphaDEX Fund</t>
  </si>
  <si>
    <t>LGOV</t>
  </si>
  <si>
    <t>First Trust Long Duration Opportunities ETF</t>
  </si>
  <si>
    <t>VTC</t>
  </si>
  <si>
    <t>Vanguard Total Corporate Bond ETF</t>
  </si>
  <si>
    <t>IEZ</t>
  </si>
  <si>
    <t>iShares U.S. Oil Equipment &amp; Services ETF</t>
  </si>
  <si>
    <t>PZA</t>
  </si>
  <si>
    <t>Invesco National AMT-Free Municipal Bond ETF</t>
  </si>
  <si>
    <t>OEF</t>
  </si>
  <si>
    <t>iShares S&amp;P 100 ETF</t>
  </si>
  <si>
    <t>TFI</t>
  </si>
  <si>
    <t>State Street SPDR Nuveen ICE Municipal Bond ETF</t>
  </si>
  <si>
    <t>FBND</t>
  </si>
  <si>
    <t>Fidelity Total Bond ETF</t>
  </si>
  <si>
    <t>IEF</t>
  </si>
  <si>
    <t>iShares 7-10 Year Treasury Bond ETF</t>
  </si>
  <si>
    <t>TLH</t>
  </si>
  <si>
    <t>iShares 10-20 Year Treasury Bond ETF</t>
  </si>
  <si>
    <t>SPBO</t>
  </si>
  <si>
    <t>State Street SPDR Portfolio Corporate Bond ETF</t>
  </si>
  <si>
    <t>VTEB</t>
  </si>
  <si>
    <t>Vanguard Tax-Exempt Bond ETF</t>
  </si>
  <si>
    <t>HYMB</t>
  </si>
  <si>
    <t>State Street SPDR Nuveen ICE High Yield Municipal Bond ETF</t>
  </si>
  <si>
    <t>BLV</t>
  </si>
  <si>
    <t>Vanguard Long Term Bond Index Fund</t>
  </si>
  <si>
    <t>BND</t>
  </si>
  <si>
    <t>Vanguard Total Bond Market ETF</t>
  </si>
  <si>
    <t>MUB</t>
  </si>
  <si>
    <t>iShares National Muni Bond ETF</t>
  </si>
  <si>
    <t>VGLT</t>
  </si>
  <si>
    <t>Vanguard Long-Term Treasury ETF</t>
  </si>
  <si>
    <t>XAR</t>
  </si>
  <si>
    <t>State Street SPDR S&amp;P Aerospace &amp; Defense ETF</t>
  </si>
  <si>
    <t>VOO</t>
  </si>
  <si>
    <t>Vanguard S&amp;P 500 ETF</t>
  </si>
  <si>
    <t>TLT</t>
  </si>
  <si>
    <t>iShares 20+ Year Treasury Bond ETF</t>
  </si>
  <si>
    <t>FCOM</t>
  </si>
  <si>
    <t>Fidelity MSCI Communication Services Index ETF</t>
  </si>
  <si>
    <t>XLC</t>
  </si>
  <si>
    <t>State Street Communication Services Select Sector SPDR ETF</t>
  </si>
  <si>
    <t>EDV</t>
  </si>
  <si>
    <t>Vanguard Extended Duration Treasury ETF</t>
  </si>
  <si>
    <t>VOX</t>
  </si>
  <si>
    <t>Vanguard Communication Services ETF</t>
  </si>
  <si>
    <t>GOVZ</t>
  </si>
  <si>
    <t>iShares 25+ Year Treasury STRIPS Bond ETF</t>
  </si>
  <si>
    <t>UBT</t>
  </si>
  <si>
    <t>ProShares Ultra 20+ Year Treasury</t>
  </si>
  <si>
    <t>KBWD</t>
  </si>
  <si>
    <t>Invesco KBW High Dividend Yield Financial ETF</t>
  </si>
  <si>
    <t>IJH</t>
  </si>
  <si>
    <t>iShares Core S&amp;P Mid-Cap ETF</t>
  </si>
  <si>
    <t>SPMD</t>
  </si>
  <si>
    <t>State Street SPDR Portfolio S&amp;P 400 Mid Cap ETF</t>
  </si>
  <si>
    <t>MDY</t>
  </si>
  <si>
    <t>State Street SPDR S&amp;P MIDCAP 400 ETF Trust</t>
  </si>
  <si>
    <t>SRTY</t>
  </si>
  <si>
    <t>ProShares UltraPro Short Russell2000</t>
  </si>
  <si>
    <t>FDIS</t>
  </si>
  <si>
    <t>Fidelity MSCI Consumer Discretionary Index ETF</t>
  </si>
  <si>
    <t>ITB</t>
  </si>
  <si>
    <t>iShares U.S. Home Construction ETF</t>
  </si>
  <si>
    <t>ACII</t>
  </si>
  <si>
    <t>Innovator Index Autocallable Income Strategy ETF</t>
  </si>
  <si>
    <t>IHI</t>
  </si>
  <si>
    <t>iShares U.S. Medical Devices ETF</t>
  </si>
  <si>
    <t>VGHY</t>
  </si>
  <si>
    <t>Vanguard High-Yield Active ETF</t>
  </si>
  <si>
    <t>IBIC</t>
  </si>
  <si>
    <t>iShares iBonds Oct 2026 Term TIPS ETF</t>
  </si>
  <si>
    <t>XUDV</t>
  </si>
  <si>
    <t>Franklin U.S. Dividend Booster Index ETF</t>
  </si>
  <si>
    <t>FYEE</t>
  </si>
  <si>
    <t>Fidelity Yield Enhanced Equity ETF</t>
  </si>
  <si>
    <t>LVDS</t>
  </si>
  <si>
    <t>JPMorgan Fundamental Data Science Large Value ETF</t>
  </si>
  <si>
    <t>IBID</t>
  </si>
  <si>
    <t>iShares iBonds Oct 2027 Term TIPS ETF</t>
  </si>
  <si>
    <t>XTL</t>
  </si>
  <si>
    <t>State Street SPDR S&amp;P Telecom ETF</t>
  </si>
  <si>
    <t>USD</t>
  </si>
  <si>
    <t>ProShares Ultra Semiconductors</t>
  </si>
  <si>
    <t>IBIE</t>
  </si>
  <si>
    <t>iShares iBonds Oct 2028 Term TIPS ETF</t>
  </si>
  <si>
    <t>FTMH</t>
  </si>
  <si>
    <t>Franklin Municipal High Yield ETF</t>
  </si>
  <si>
    <t>VGUS</t>
  </si>
  <si>
    <t>Vanguard Ultra-Short Treasury ETF</t>
  </si>
  <si>
    <t>CSHP</t>
  </si>
  <si>
    <t>iShares Dynamic Short-Term Active ETF</t>
  </si>
  <si>
    <t>ICPI</t>
  </si>
  <si>
    <t>iShares 0-1 Year TIPS Bond ETF</t>
  </si>
  <si>
    <t>GMMF</t>
  </si>
  <si>
    <t>iShares Government Money Market ETF</t>
  </si>
  <si>
    <t>VBIL</t>
  </si>
  <si>
    <t>Vanguard 0-3 Month Treasury Bill ETF</t>
  </si>
  <si>
    <t>VDE</t>
  </si>
  <si>
    <t>Vanguard Energy ETF</t>
  </si>
  <si>
    <t>XMLV</t>
  </si>
  <si>
    <t>Invesco S&amp;P MidCap Low Volatility ETF</t>
  </si>
  <si>
    <t>FTCA</t>
  </si>
  <si>
    <t>Franklin California Municipal Income ETF</t>
  </si>
  <si>
    <t>FENY</t>
  </si>
  <si>
    <t>Fidelity MSCI Energy Index ETF</t>
  </si>
  <si>
    <t>TTT</t>
  </si>
  <si>
    <t>ProShares UltraPro Short 20+ Year Treasury</t>
  </si>
  <si>
    <t>RSPR</t>
  </si>
  <si>
    <t>Invesco S&amp;P 500 Equal Weight Real Estate ETF</t>
  </si>
  <si>
    <t>XISE</t>
  </si>
  <si>
    <t>FT Vest U.S. Equity Buffer &amp; Premium Income ETF - September</t>
  </si>
  <si>
    <t>SPTU</t>
  </si>
  <si>
    <t>State Street SPDR Portfolio Ultra Short T-Bill ETF</t>
  </si>
  <si>
    <t>INCE</t>
  </si>
  <si>
    <t>Franklin Income Equity Focus ETF</t>
  </si>
  <si>
    <t>TDVI</t>
  </si>
  <si>
    <t>FT Vest Technology Dividend Target Income ETF</t>
  </si>
  <si>
    <t>MYHA</t>
  </si>
  <si>
    <t>State Street My2027 High Yield Corporate Bond ETF</t>
  </si>
  <si>
    <t>JPRE</t>
  </si>
  <si>
    <t>JPMorgan Realty Income ETF</t>
  </si>
  <si>
    <t>XLEI</t>
  </si>
  <si>
    <t>State Street Energy Select Sector SPDR Premium Income ETF</t>
  </si>
  <si>
    <t>JMMF</t>
  </si>
  <si>
    <t>JPMorgan 100% U.S. Treasury Securities Money Market ETF</t>
  </si>
  <si>
    <t>LVHD</t>
  </si>
  <si>
    <t>Franklin U.S. Low Volatility High Dividend Index ETF</t>
  </si>
  <si>
    <t>SOXQ</t>
  </si>
  <si>
    <t>Invesco PHLX Semiconductor ETF</t>
  </si>
  <si>
    <t>CVY</t>
  </si>
  <si>
    <t>Invesco Zacks Multi-Asset Income ETF</t>
  </si>
  <si>
    <t>XLII</t>
  </si>
  <si>
    <t>State Street Industrial Select Sector SPDR Premium Income ETF</t>
  </si>
  <si>
    <t>SOXX</t>
  </si>
  <si>
    <t>iShares Semiconductor ETF</t>
  </si>
  <si>
    <t>PSI</t>
  </si>
  <si>
    <t>Invesco Semiconductors ETF</t>
  </si>
  <si>
    <t>FTXL</t>
  </si>
  <si>
    <t>First Trust Nasdaq Semiconductor ETF</t>
  </si>
  <si>
    <t>FRI</t>
  </si>
  <si>
    <t>First Trust S&amp;P REIT Index Fund</t>
  </si>
  <si>
    <t>BBRE</t>
  </si>
  <si>
    <t>JPMorgan BetaBuilders MSCI US REIT ETF</t>
  </si>
  <si>
    <t>SMLV</t>
  </si>
  <si>
    <t>State Street SPDR US Small Cap Low Volatility Index ETF</t>
  </si>
  <si>
    <t>ROCY</t>
  </si>
  <si>
    <t>JPMorgan Equity Premium Yield ETF</t>
  </si>
  <si>
    <t>BSMQ</t>
  </si>
  <si>
    <t>Invesco BulletShares 2026 Municipal Bond ETF</t>
  </si>
  <si>
    <t>IBDR</t>
  </si>
  <si>
    <t>iShares iBonds Dec 2026 Term Corporate ETF</t>
  </si>
  <si>
    <t>UPRO</t>
  </si>
  <si>
    <t>ProShares UltraPro S&amp;P500</t>
  </si>
  <si>
    <t>HYHG</t>
  </si>
  <si>
    <t>ProShares High Yield-Interest Rate Hedged ETF</t>
  </si>
  <si>
    <t>SGOV</t>
  </si>
  <si>
    <t>iShares 0-3 Month Treasury Bond ETF</t>
  </si>
  <si>
    <t>TFLO</t>
  </si>
  <si>
    <t>iShares Treasury Floating Rate Bond ETF</t>
  </si>
  <si>
    <t>BILS</t>
  </si>
  <si>
    <t>State Street SPDR Bloomberg 3-12 Month T-Bill ETF</t>
  </si>
  <si>
    <t>GBIL</t>
  </si>
  <si>
    <t>ACCESS TREASURY 0-1 YEAR ETF</t>
  </si>
  <si>
    <t>BIL</t>
  </si>
  <si>
    <t>State Street SPDR Bloomberg 1-3 Month T-Bill ETF</t>
  </si>
  <si>
    <t>XLFI</t>
  </si>
  <si>
    <t>State Street Financial Select Sector SPDR Premium Income ETF</t>
  </si>
  <si>
    <t>SHV</t>
  </si>
  <si>
    <t>iShares Trust iShares 0-1 Year Treasury Bond ETF</t>
  </si>
  <si>
    <t>TBLL</t>
  </si>
  <si>
    <t>Invesco Short Term Treasury ETF</t>
  </si>
  <si>
    <t>IBTG</t>
  </si>
  <si>
    <t>iShares iBonds Dec 2026 Term Treasury ETF</t>
  </si>
  <si>
    <t>DIVG</t>
  </si>
  <si>
    <t>Invesco S&amp;P 500 High Dividend Growers ETF</t>
  </si>
  <si>
    <t>FTXG</t>
  </si>
  <si>
    <t>First Trust Nasdaq Food &amp; Beverage ETF</t>
  </si>
  <si>
    <t>MYHB</t>
  </si>
  <si>
    <t>State Street My2028 High Yield Corporate Bond ETF</t>
  </si>
  <si>
    <t>DUSB</t>
  </si>
  <si>
    <t>Dimensional Ultrashort Fixed Income ETF</t>
  </si>
  <si>
    <t>TBT</t>
  </si>
  <si>
    <t>ProShares UltraShort 20+ Year Treasury</t>
  </si>
  <si>
    <t>GPIQ</t>
  </si>
  <si>
    <t>Goldman Sachs Nasdaq-100 Premium Income ETF</t>
  </si>
  <si>
    <t>SPMO</t>
  </si>
  <si>
    <t>Invesco S&amp;P 500 Momentum ETF</t>
  </si>
  <si>
    <t>FAB</t>
  </si>
  <si>
    <t>First Trust Multi Cap Value AlphaDEX Fund</t>
  </si>
  <si>
    <t>XSD</t>
  </si>
  <si>
    <t>State Street SPDR S&amp;P Semiconductor ETF</t>
  </si>
  <si>
    <t>VLUE</t>
  </si>
  <si>
    <t>iShares MSCI USA Value Factor ETF</t>
  </si>
  <si>
    <t>KBWP</t>
  </si>
  <si>
    <t>Invesco KBW Property &amp; Casualty Insurance ETF</t>
  </si>
  <si>
    <t>GUMI</t>
  </si>
  <si>
    <t>Goldman Sachs Ultra Short Municipal Income ETF</t>
  </si>
  <si>
    <t>XLUI</t>
  </si>
  <si>
    <t>State Street Utilities Select Sector SPDR Premium Income ETF</t>
  </si>
  <si>
    <t>RZV</t>
  </si>
  <si>
    <t>Invesco S&amp;P Smallcap 600 Pure Value ETF</t>
  </si>
  <si>
    <t>PSCF</t>
  </si>
  <si>
    <t>Invesco S&amp;P SmallCap Financials ETF</t>
  </si>
  <si>
    <t>USLN</t>
  </si>
  <si>
    <t>iShares Broad USD Floating Rate Loan ETF</t>
  </si>
  <si>
    <t>BALQ</t>
  </si>
  <si>
    <t>iShares Nasdaq Premium Income Active ETF</t>
  </si>
  <si>
    <t>UDOW</t>
  </si>
  <si>
    <t>ProShares UltraPro Dow30</t>
  </si>
  <si>
    <t>FTKI</t>
  </si>
  <si>
    <t>First Trust Small Cap BuyWrite Income ETF</t>
  </si>
  <si>
    <t>OCTJ</t>
  </si>
  <si>
    <t>Innovator Premium Income 30 Barrier ETF - October</t>
  </si>
  <si>
    <t>FLRN</t>
  </si>
  <si>
    <t>State Street SPDR Bloomberg Investment Grade Floating Rate ETF</t>
  </si>
  <si>
    <t>PJP</t>
  </si>
  <si>
    <t>Invesco Pharmaceuticals ETF</t>
  </si>
  <si>
    <t>IBIK</t>
  </si>
  <si>
    <t>iShares iBonds Oct 2034 Term TIPS ETF</t>
  </si>
  <si>
    <t>VSDB</t>
  </si>
  <si>
    <t>Vanguard Short Duration Bond ETF</t>
  </si>
  <si>
    <t>QQLV</t>
  </si>
  <si>
    <t>Invesco QQQ Low Volatility ETF</t>
  </si>
  <si>
    <t>FLOT</t>
  </si>
  <si>
    <t>iShares Floating Rate Bond ETF</t>
  </si>
  <si>
    <t>BSMY</t>
  </si>
  <si>
    <t>Invesco BulletShares 2034 Municipal Bond ETF</t>
  </si>
  <si>
    <t>LDRC</t>
  </si>
  <si>
    <t>iShares iBonds 1-5 Year Corporate Ladder ETF</t>
  </si>
  <si>
    <t>IBTH</t>
  </si>
  <si>
    <t>iShares iBonds Dec 2027 Term Treasury ETF</t>
  </si>
  <si>
    <t>JANJ</t>
  </si>
  <si>
    <t>Innovator Premium Income 30 Barrier ETF - January</t>
  </si>
  <si>
    <t>FTSD</t>
  </si>
  <si>
    <t>Franklin Short Duration U.S. Government ETF</t>
  </si>
  <si>
    <t>FLDR</t>
  </si>
  <si>
    <t>Fidelity Low Duration Bond Factor ETF</t>
  </si>
  <si>
    <t>IQMM</t>
  </si>
  <si>
    <t>ProShares GENIUS Money Market ETF</t>
  </si>
  <si>
    <t>FITE</t>
  </si>
  <si>
    <t>State Street SPDR S&amp;P Kensho Future Security ETF</t>
  </si>
  <si>
    <t>HYBL</t>
  </si>
  <si>
    <t>State Street Blackstone High Income ETF</t>
  </si>
  <si>
    <t>VTIP</t>
  </si>
  <si>
    <t>Vanguard Short-Term Inflation-Protected Securities ETF</t>
  </si>
  <si>
    <t>STIP</t>
  </si>
  <si>
    <t>iShares 0-5 Year TIPS Bond ETF</t>
  </si>
  <si>
    <t>PSR</t>
  </si>
  <si>
    <t>Invesco Active U.S. Real Estate Fund</t>
  </si>
  <si>
    <t>FDLO</t>
  </si>
  <si>
    <t>Fidelity Low Volatility Factor ETF</t>
  </si>
  <si>
    <t>RWK</t>
  </si>
  <si>
    <t>Invesco S&amp;P MidCap 400 Revenue ETF</t>
  </si>
  <si>
    <t>RSPF</t>
  </si>
  <si>
    <t>Invesco S&amp;P 500 Equal Weight Financials ETF</t>
  </si>
  <si>
    <t>TMDV</t>
  </si>
  <si>
    <t>ProShares Russell US Dividend Growers ETF</t>
  </si>
  <si>
    <t>SSO</t>
  </si>
  <si>
    <t>ProShares Ultra S&amp;P 500</t>
  </si>
  <si>
    <t>XLKI</t>
  </si>
  <si>
    <t>State Street Technology Select Sector SPDR Premium Income ETF</t>
  </si>
  <si>
    <t>IROC</t>
  </si>
  <si>
    <t>Invesco Rochester High Yield Municipal ETF</t>
  </si>
  <si>
    <t>FXN</t>
  </si>
  <si>
    <t>First Trust Energy AlphaDEX Fund</t>
  </si>
  <si>
    <t>COIA</t>
  </si>
  <si>
    <t>ProShares Ultra COIN</t>
  </si>
  <si>
    <t>FTEC</t>
  </si>
  <si>
    <t>Fidelity MSCI Information Technology Index ETF</t>
  </si>
  <si>
    <t>GCAL</t>
  </si>
  <si>
    <t>Goldman Sachs Dynamic California Municipal Income ETF</t>
  </si>
  <si>
    <t>IBHL</t>
  </si>
  <si>
    <t>iShares iBonds 2032 Term High Yield and Income ETF</t>
  </si>
  <si>
    <t>FUMB</t>
  </si>
  <si>
    <t>First Trust Ultra Short Duration Municipal ETF</t>
  </si>
  <si>
    <t>IBMP</t>
  </si>
  <si>
    <t>iShares iBonds Dec 2027 Term Muni Bond ETF</t>
  </si>
  <si>
    <t>PST</t>
  </si>
  <si>
    <t>ProShares UltraShort 7-10 Year Treasury</t>
  </si>
  <si>
    <t>RFLR</t>
  </si>
  <si>
    <t>Innovator U.S. Small Cap Managed Floor ETF</t>
  </si>
  <si>
    <t>SPHB</t>
  </si>
  <si>
    <t>Invesco S&amp;P 500 High Beta ETF</t>
  </si>
  <si>
    <t>AGRH</t>
  </si>
  <si>
    <t>iShares Interest Rate Hedged U.S. Aggregate Bond ETF</t>
  </si>
  <si>
    <t>VGT</t>
  </si>
  <si>
    <t>Vanguard Information Technology ETF</t>
  </si>
  <si>
    <t>IBBQ</t>
  </si>
  <si>
    <t>Invesco Nasdaq Biotechnology ETF</t>
  </si>
  <si>
    <t>JEPQ</t>
  </si>
  <si>
    <t>JPMorgan NASDAQ Equity Premium Income ETF</t>
  </si>
  <si>
    <t>FYT</t>
  </si>
  <si>
    <t>First Trust Small Cap Value AlphaDEX Fund</t>
  </si>
  <si>
    <t>IFRA</t>
  </si>
  <si>
    <t>iShares U.S. Infrastructure ETF</t>
  </si>
  <si>
    <t>FTQI</t>
  </si>
  <si>
    <t>First Trust Nasdaq BuyWrite Income ETF</t>
  </si>
  <si>
    <t>ACEI</t>
  </si>
  <si>
    <t>Innovator Equity Autocallable Income Strategy ETF</t>
  </si>
  <si>
    <t>TSLI</t>
  </si>
  <si>
    <t>ProShares Ultra TSLA ETF</t>
  </si>
  <si>
    <t>XMMO</t>
  </si>
  <si>
    <t>Invesco S&amp;P MidCap Momentum ETF</t>
  </si>
  <si>
    <t>TDIV</t>
  </si>
  <si>
    <t>First Trust NASDAQ Technology Dividend Index Fund</t>
  </si>
  <si>
    <t>FTMU</t>
  </si>
  <si>
    <t>Franklin Municipal Income ETF</t>
  </si>
  <si>
    <t>RSPT</t>
  </si>
  <si>
    <t>Invesco S&amp;P 500 Equal Weight Technology ETF</t>
  </si>
  <si>
    <t>IYZ</t>
  </si>
  <si>
    <t>iShares U.S. Telecommunications ETF</t>
  </si>
  <si>
    <t>XJH</t>
  </si>
  <si>
    <t>iShares ESG Select Screened S&amp;P Mid-Cap ETF</t>
  </si>
  <si>
    <t>QQDN</t>
  </si>
  <si>
    <t>ProShares UltraShort QQQ Mega ETF</t>
  </si>
  <si>
    <t>IYW</t>
  </si>
  <si>
    <t>iShares U.S. Technology ETF</t>
  </si>
  <si>
    <t>GTOC</t>
  </si>
  <si>
    <t>Invesco Core Fixed Income ETF</t>
  </si>
  <si>
    <t>TBX</t>
  </si>
  <si>
    <t>ProShares Short 7-10 Year Treasury</t>
  </si>
  <si>
    <t>FMAT</t>
  </si>
  <si>
    <t>Fidelity MSCI Materials Index ETF</t>
  </si>
  <si>
    <t>FTXN</t>
  </si>
  <si>
    <t>First Trust Nasdaq Oil &amp; Gas ETF</t>
  </si>
  <si>
    <t>SPTB</t>
  </si>
  <si>
    <t>State Street SPDR Portfolio Treasury ETF</t>
  </si>
  <si>
    <t>JBND</t>
  </si>
  <si>
    <t>JPMorgan Active Bond ETF</t>
  </si>
  <si>
    <t>BSMR</t>
  </si>
  <si>
    <t>Invesco BulletShares 2027 Municipal Bond ETF</t>
  </si>
  <si>
    <t>LAPR</t>
  </si>
  <si>
    <t>Innovator Premium Income 15 Buffer ETF - April</t>
  </si>
  <si>
    <t>PBTP</t>
  </si>
  <si>
    <t>Invesco 0-5 Yr US TIPS ETF</t>
  </si>
  <si>
    <t>IVVW</t>
  </si>
  <si>
    <t>iShares S&amp;P 500 BuyWrite ETF</t>
  </si>
  <si>
    <t>XIDE</t>
  </si>
  <si>
    <t>FT Vest U.S. Equity Buffer &amp; Premium Income ETF - December</t>
  </si>
  <si>
    <t>IGM</t>
  </si>
  <si>
    <t>iShares Expanded Tech Sector ETF</t>
  </si>
  <si>
    <t>GTIP</t>
  </si>
  <si>
    <t>Goldman Sachs Access Inflation Protected USD Bond ETF</t>
  </si>
  <si>
    <t>EQRR</t>
  </si>
  <si>
    <t>ProShares Equities for Rising Rates ETF</t>
  </si>
  <si>
    <t>IDGT</t>
  </si>
  <si>
    <t>iShares U.S. Digital Infrastructure and Real Estate ETF</t>
  </si>
  <si>
    <t>OCTH</t>
  </si>
  <si>
    <t>Innovator Premium Income 20 Barrier ETF - October</t>
  </si>
  <si>
    <t>IVOO</t>
  </si>
  <si>
    <t>Vanguard S&amp;P Mid-Cap 400 ETF</t>
  </si>
  <si>
    <t>JANH</t>
  </si>
  <si>
    <t>Innovator Premium Income 20 Barrier ETF - January</t>
  </si>
  <si>
    <t>IWMW</t>
  </si>
  <si>
    <t>iShares Russell 2000 BuyWrite ETF</t>
  </si>
  <si>
    <t>LJAN</t>
  </si>
  <si>
    <t>Innovator Premium Income 15 Buffer ETF - January</t>
  </si>
  <si>
    <t>EMTY</t>
  </si>
  <si>
    <t>ProShares Decline of the Retail Store ETF</t>
  </si>
  <si>
    <t>APRH</t>
  </si>
  <si>
    <t>Innovator Premium Income 20 Barrier ETF - April</t>
  </si>
  <si>
    <t>FPX</t>
  </si>
  <si>
    <t>First Trust US Equity Opportunities ETF</t>
  </si>
  <si>
    <t>FCEF</t>
  </si>
  <si>
    <t>First Trust Income Opportunities ETF</t>
  </si>
  <si>
    <t>XIMR</t>
  </si>
  <si>
    <t>FT Vest U.S. Equity Buffer &amp; Premium Income ETF - March</t>
  </si>
  <si>
    <t>BSV</t>
  </si>
  <si>
    <t>Vanguard Short-Term Bond ETF</t>
  </si>
  <si>
    <t>SUSB</t>
  </si>
  <si>
    <t>iShares ESG Aware 1-5 Year USD Corporate Bond ETF</t>
  </si>
  <si>
    <t>RXL</t>
  </si>
  <si>
    <t>ProShares Ultra Health Care</t>
  </si>
  <si>
    <t>FB</t>
  </si>
  <si>
    <t>ProShares S&amp;P 500 Dynamic Buffer ETF</t>
  </si>
  <si>
    <t>FNX</t>
  </si>
  <si>
    <t>First Trust Mid Cap Core AlphaDEX Fund</t>
  </si>
  <si>
    <t>HSMV</t>
  </si>
  <si>
    <t>First Trust Horizon Managed Volatility Small/Mid ETF</t>
  </si>
  <si>
    <t>MTUM</t>
  </si>
  <si>
    <t>iShares MSCI USA Momentum Factor ETF</t>
  </si>
  <si>
    <t>FLMB</t>
  </si>
  <si>
    <t>Franklin Municipal Green Bond ETF</t>
  </si>
  <si>
    <t>IBDT</t>
  </si>
  <si>
    <t>iShares iBonds Dec 2028 Term Corporate ETF</t>
  </si>
  <si>
    <t>IBTM</t>
  </si>
  <si>
    <t>iShares iBonds Dec 2032 Term Treasury ETF</t>
  </si>
  <si>
    <t>EUSB</t>
  </si>
  <si>
    <t>iShares ESG Advanced Universal USD Bond ETF</t>
  </si>
  <si>
    <t>BMVP</t>
  </si>
  <si>
    <t>Invesco Bloomberg MVP Multi-factor ETF</t>
  </si>
  <si>
    <t>QVMT</t>
  </si>
  <si>
    <t>Invesco S&amp;P 500 Concentrated QVM ETF</t>
  </si>
  <si>
    <t>AGG</t>
  </si>
  <si>
    <t>iShares Core U.S. Aggregate Bond ETF</t>
  </si>
  <si>
    <t>MGK</t>
  </si>
  <si>
    <t>Vanguard Mega Cap Growth ETF</t>
  </si>
  <si>
    <t>EAGG</t>
  </si>
  <si>
    <t>iShares ESG Aware US Aggregate Bond ETF</t>
  </si>
  <si>
    <t>VFQY</t>
  </si>
  <si>
    <t>Vanguard U.S. Quality Factor ETF</t>
  </si>
  <si>
    <t>APRJ</t>
  </si>
  <si>
    <t>Innovator Premium Income 30 Barrier ETF - April</t>
  </si>
  <si>
    <t>FSMB</t>
  </si>
  <si>
    <t>First Trust Short Duration Managed Municipal ETF</t>
  </si>
  <si>
    <t>GOVT</t>
  </si>
  <si>
    <t>iShares U.S. Treasury Bond ETF</t>
  </si>
  <si>
    <t>HISF</t>
  </si>
  <si>
    <t>First Trust High Income Strategic Focus ETF</t>
  </si>
  <si>
    <t>FSCS</t>
  </si>
  <si>
    <t>First Trust SMID Capital Strength ETF</t>
  </si>
  <si>
    <t>AFMC</t>
  </si>
  <si>
    <t>First Trust Active Factor Mid Cap ETF</t>
  </si>
  <si>
    <t>VMBS</t>
  </si>
  <si>
    <t>Vanguard Mortgage-Backed Securities ETF</t>
  </si>
  <si>
    <t>VFMO</t>
  </si>
  <si>
    <t>Vanguard U.S. Momentum Factor ETF</t>
  </si>
  <si>
    <t>IUSB</t>
  </si>
  <si>
    <t>iShares Core Total USD Bond Market ETF</t>
  </si>
  <si>
    <t>FEX</t>
  </si>
  <si>
    <t>First Trust Large Cap Core AlphaDEX Fund</t>
  </si>
  <si>
    <t>IBDV</t>
  </si>
  <si>
    <t>iShares iBonds Dec 2030 Term Corporate ETF</t>
  </si>
  <si>
    <t>ILCG</t>
  </si>
  <si>
    <t>iShares Morningstar Growth ETF</t>
  </si>
  <si>
    <t>FTDS</t>
  </si>
  <si>
    <t>First Trust Dividend Strength ETF</t>
  </si>
  <si>
    <t>FDMO</t>
  </si>
  <si>
    <t>Fidelity Momentum Factor ETF</t>
  </si>
  <si>
    <t>VGSH</t>
  </si>
  <si>
    <t>Vanguard Short-Term Treasury ETF</t>
  </si>
  <si>
    <t>LQD</t>
  </si>
  <si>
    <t>iShares iBoxx $ Investment Grade Corporate Bond ETF</t>
  </si>
  <si>
    <t>FDHY</t>
  </si>
  <si>
    <t>Fidelity Enhanced High Yield ETF</t>
  </si>
  <si>
    <t>VGIT</t>
  </si>
  <si>
    <t>Vanguard Intermediate-Term Treasury ETF</t>
  </si>
  <si>
    <t>IBMO</t>
  </si>
  <si>
    <t>iShares iBonds Dec 2026 Term Muni Bond ETF</t>
  </si>
  <si>
    <t>NYF</t>
  </si>
  <si>
    <t>iShares New York Muni Bond ETF</t>
  </si>
  <si>
    <t>IUSG</t>
  </si>
  <si>
    <t>iShares Core S&amp;P U.S. Growth ETF</t>
  </si>
  <si>
    <t>IEI</t>
  </si>
  <si>
    <t>iShares 3-7 Year Treasury Bond ETF</t>
  </si>
  <si>
    <t>ROCQ</t>
  </si>
  <si>
    <t>JPMorgan Nasdaq Equity Premium Yield ETF</t>
  </si>
  <si>
    <t>RINF</t>
  </si>
  <si>
    <t>ProShares Inflation Expectations ETF</t>
  </si>
  <si>
    <t>GCOR</t>
  </si>
  <si>
    <t>Goldman Sachs Access U.S. Aggregate Bond ETF</t>
  </si>
  <si>
    <t>MYMF</t>
  </si>
  <si>
    <t>State Street My2026 Municipal Bond ETF</t>
  </si>
  <si>
    <t>QQQM</t>
  </si>
  <si>
    <t>Invesco NASDAQ 100 ETF</t>
  </si>
  <si>
    <t>FTIF</t>
  </si>
  <si>
    <t>First Trust Bloomberg Inflation Sensitive Equity ETF</t>
  </si>
  <si>
    <t>FLGV</t>
  </si>
  <si>
    <t>Franklin U.S. Treasury Bond ETF</t>
  </si>
  <si>
    <t>VCLT</t>
  </si>
  <si>
    <t>Vanguard Long-Term Corporate Bond ETF</t>
  </si>
  <si>
    <t>SHYM</t>
  </si>
  <si>
    <t>iShares Short Duration High Yield Muni Active ETF</t>
  </si>
  <si>
    <t>KOMP</t>
  </si>
  <si>
    <t>State Street SPDR S&amp;P Kensho New Economies Composite ETF</t>
  </si>
  <si>
    <t>EGUS</t>
  </si>
  <si>
    <t>iShares ESG Aware MSCI USA Growth ETF</t>
  </si>
  <si>
    <t>FLCB</t>
  </si>
  <si>
    <t>Franklin U.S Core Bond ETF</t>
  </si>
  <si>
    <t>QTOP</t>
  </si>
  <si>
    <t>iShares Nasdaq Top 30 Stocks ETF</t>
  </si>
  <si>
    <t>IVW</t>
  </si>
  <si>
    <t>iShares S&amp;P 500 Growth ETF</t>
  </si>
  <si>
    <t>VOOG</t>
  </si>
  <si>
    <t>Vanguard S&amp;P 500 Growth ETF</t>
  </si>
  <si>
    <t>XME</t>
  </si>
  <si>
    <t>State Street SPDR S&amp;P Metals &amp; Mining ETF</t>
  </si>
  <si>
    <t>SDD</t>
  </si>
  <si>
    <t>ProShares UltraShort SmallCap600</t>
  </si>
  <si>
    <t>SPLB</t>
  </si>
  <si>
    <t>State Street SPDR Portfolio Long Term Corporate Bond ETF</t>
  </si>
  <si>
    <t>VXF</t>
  </si>
  <si>
    <t>Vanguard Extended Market ETF</t>
  </si>
  <si>
    <t>DFCA</t>
  </si>
  <si>
    <t>Dimensional California Municipal Bond ETF</t>
  </si>
  <si>
    <t>IBMR</t>
  </si>
  <si>
    <t>iShares iBonds Dec 2029 Term Muni Bond ETF</t>
  </si>
  <si>
    <t>SPSB</t>
  </si>
  <si>
    <t>State Street SPDR Portfolio Short Term Corporate Bond ETF</t>
  </si>
  <si>
    <t>RSPE</t>
  </si>
  <si>
    <t>Invesco ESG S&amp;P 500 Equal Weight ETF</t>
  </si>
  <si>
    <t>XSHD</t>
  </si>
  <si>
    <t>Invesco S&amp;P SmallCap High Dividend Low Volatility ETF</t>
  </si>
  <si>
    <t>XHB</t>
  </si>
  <si>
    <t>State Street SPDR S&amp;P Homebuilders ETF</t>
  </si>
  <si>
    <t>KLMN</t>
  </si>
  <si>
    <t>Invesco MSCI North America Climate ETF</t>
  </si>
  <si>
    <t>URE</t>
  </si>
  <si>
    <t>ProShares Ultra Real Estate</t>
  </si>
  <si>
    <t>FCFY</t>
  </si>
  <si>
    <t>First Trust S&amp;P 500 Diversified Free Cash Flow ETF</t>
  </si>
  <si>
    <t>TIPX</t>
  </si>
  <si>
    <t>State Street SPDR Bloomberg 1-10 Year TIPS ETF</t>
  </si>
  <si>
    <t>SCC</t>
  </si>
  <si>
    <t>ProShares UltraShort Consumer Discretionary</t>
  </si>
  <si>
    <t>SHRY</t>
  </si>
  <si>
    <t>First Trust Bloomberg Shareholder Yield ETF</t>
  </si>
  <si>
    <t>BSMZ</t>
  </si>
  <si>
    <t>Invesco BulletShares 2035 Municipal Bond ETF</t>
  </si>
  <si>
    <t>RPG</t>
  </si>
  <si>
    <t>Invesco S&amp;P 500 Pure Growth ETF</t>
  </si>
  <si>
    <t>BSMT</t>
  </si>
  <si>
    <t>Invesco BulletShares 2029 Municipal Bond ETF</t>
  </si>
  <si>
    <t>SUSL</t>
  </si>
  <si>
    <t>iShares ESG MSCI USA Leaders ETF</t>
  </si>
  <si>
    <t>SHY</t>
  </si>
  <si>
    <t>iShares 1-3 Year Treasury Bond ETF</t>
  </si>
  <si>
    <t>IGSB</t>
  </si>
  <si>
    <t>iShares 1-5 Year Investment Grade Corporate Bond ETF</t>
  </si>
  <si>
    <t>QQMG</t>
  </si>
  <si>
    <t>Invesco ESG NASDAQ 100 ETF</t>
  </si>
  <si>
    <t>XSMO</t>
  </si>
  <si>
    <t>Invesco S&amp;P SmallCap Momentum ETF</t>
  </si>
  <si>
    <t>SPIP</t>
  </si>
  <si>
    <t>State Street SPDR Portfolio TIPS ETF</t>
  </si>
  <si>
    <t>DSI</t>
  </si>
  <si>
    <t>iShares ESG MSCI KLD 400 ETF</t>
  </si>
  <si>
    <t>MGC</t>
  </si>
  <si>
    <t>Vanguard Mega Cap ETF</t>
  </si>
  <si>
    <t>FEAC</t>
  </si>
  <si>
    <t>Fidelity Enhanced U.S. All-Cap Equity ETF</t>
  </si>
  <si>
    <t>QB</t>
  </si>
  <si>
    <t>ProShares Nasdaq-100 Dynamic Buffer ETF</t>
  </si>
  <si>
    <t>SUB</t>
  </si>
  <si>
    <t>iShares Short-Term National Muni Bond ETF</t>
  </si>
  <si>
    <t>LRGF</t>
  </si>
  <si>
    <t>iShares U.S. Equity Factor ETF</t>
  </si>
  <si>
    <t>VCSH</t>
  </si>
  <si>
    <t>Vanguard Short-Term Corporate Bond ETF</t>
  </si>
  <si>
    <t>DYNF</t>
  </si>
  <si>
    <t>iShares U.S. Equity Factor Rotation Active ETF</t>
  </si>
  <si>
    <t>BSMV</t>
  </si>
  <si>
    <t>Invesco BulletShares 2031 Municipal Bond ETF</t>
  </si>
  <si>
    <t>IWO</t>
  </si>
  <si>
    <t>iShares Russell 2000 Growth ETF</t>
  </si>
  <si>
    <t>JMST</t>
  </si>
  <si>
    <t>JPMorgan Ultra-Short Municipal Income ETF</t>
  </si>
  <si>
    <t>IJT</t>
  </si>
  <si>
    <t>iShares S&amp;P Small-Cap 600 Growth ETF</t>
  </si>
  <si>
    <t>ACYN</t>
  </si>
  <si>
    <t>FT Vest Laddered Autocallable Barrier &amp; Income ETF</t>
  </si>
  <si>
    <t>SPTM</t>
  </si>
  <si>
    <t>State Street SPDR Portfolio S&amp;P 1500 Composite Stock Market ETF</t>
  </si>
  <si>
    <t>VONE</t>
  </si>
  <si>
    <t>Vanguard Russell 1000 ETF</t>
  </si>
  <si>
    <t>ISTB</t>
  </si>
  <si>
    <t>iShares Core 1-5 Year USD Bond ETF</t>
  </si>
  <si>
    <t>IBIH</t>
  </si>
  <si>
    <t>iShares iBonds Oct 2031 Term TIPS ETF</t>
  </si>
  <si>
    <t>VV</t>
  </si>
  <si>
    <t>Vanguard Large-Cap ETF</t>
  </si>
  <si>
    <t>SPY</t>
  </si>
  <si>
    <t>State Street SPDR S&amp;P 500 ETF</t>
  </si>
  <si>
    <t>IWL</t>
  </si>
  <si>
    <t>iShares Russell Top 200 ETF</t>
  </si>
  <si>
    <t>PWZ</t>
  </si>
  <si>
    <t>Invesco California AMT-Free Municipal Bond ETF</t>
  </si>
  <si>
    <t>PHO</t>
  </si>
  <si>
    <t>Invesco Water Resources ETF</t>
  </si>
  <si>
    <t>IWF</t>
  </si>
  <si>
    <t>iShares Russell 1000 Growth ETF</t>
  </si>
  <si>
    <t>IVV</t>
  </si>
  <si>
    <t>iShares Core S&amp;P 500 ETF</t>
  </si>
  <si>
    <t>EDOW</t>
  </si>
  <si>
    <t>First Trust Dow 30 Equal Weight ETF</t>
  </si>
  <si>
    <t>AGZ</t>
  </si>
  <si>
    <t>iShares Agency Bond ETF</t>
  </si>
  <si>
    <t>QQUP</t>
  </si>
  <si>
    <t>Proshares Ultra QQQ Mega ETF</t>
  </si>
  <si>
    <t>MYHD</t>
  </si>
  <si>
    <t>State Street My2030 High Yield Corporate Bond ETF</t>
  </si>
  <si>
    <t>HUSV</t>
  </si>
  <si>
    <t>First Trust Horizon Managed Volatility Domestic ETF</t>
  </si>
  <si>
    <t>HBRD</t>
  </si>
  <si>
    <t>Invesco U.S. Hybrid Bond ETF</t>
  </si>
  <si>
    <t>FUTY</t>
  </si>
  <si>
    <t>Fidelity MSCI Utilities Index ETF</t>
  </si>
  <si>
    <t>MYHC</t>
  </si>
  <si>
    <t>State Street My2029 High Yield Corporate Bond ETF</t>
  </si>
  <si>
    <t>IBTL</t>
  </si>
  <si>
    <t>iShares iBonds Dec 2031 Term Treasury ETF</t>
  </si>
  <si>
    <t>SPTS</t>
  </si>
  <si>
    <t>State Street SPDR Portfolio Short Term Treasury ETF</t>
  </si>
  <si>
    <t>XLU</t>
  </si>
  <si>
    <t>State Street Utilities Select Sector SPDR ETF</t>
  </si>
  <si>
    <t>IMCG</t>
  </si>
  <si>
    <t>iShares Morningstar Mid-Cap Growth ETF</t>
  </si>
  <si>
    <t>VPU</t>
  </si>
  <si>
    <t>Vanguard Utilities ETF</t>
  </si>
  <si>
    <t>SHM</t>
  </si>
  <si>
    <t>State Street SPDR Nuveen ICE Short Term Municipal Bond ETF</t>
  </si>
  <si>
    <t>RSPU</t>
  </si>
  <si>
    <t>Invesco S&amp;P 500 Equal Weight Utilities ETF</t>
  </si>
  <si>
    <t>IYM</t>
  </si>
  <si>
    <t>iShares U.S. Basic Materials ETF</t>
  </si>
  <si>
    <t>SPXN</t>
  </si>
  <si>
    <t>ProShares S&amp;P 500 Ex-Financials ETF</t>
  </si>
  <si>
    <t>IBTK</t>
  </si>
  <si>
    <t>iShares iBonds Dec 2030 Term Treasury ETF</t>
  </si>
  <si>
    <t>VBK</t>
  </si>
  <si>
    <t>Vanguard Small-Cap Growth ETF</t>
  </si>
  <si>
    <t>SPAB</t>
  </si>
  <si>
    <t>State Street SPDR Portfolio Aggregate Bond ETF</t>
  </si>
  <si>
    <t>XLB</t>
  </si>
  <si>
    <t>State Street Materials Select Sector SPDR ETF</t>
  </si>
  <si>
    <t>MEAR</t>
  </si>
  <si>
    <t>iShares Short Maturity Municipal Bond Active ETF</t>
  </si>
  <si>
    <t>XLSR</t>
  </si>
  <si>
    <t>State Street US Sector Rotation ETF</t>
  </si>
  <si>
    <t>GUSA</t>
  </si>
  <si>
    <t>Goldman Sachs MarketBeta U.S. 1000 Equity ETF</t>
  </si>
  <si>
    <t>IWV</t>
  </si>
  <si>
    <t>iShares Russell 3000 ETF</t>
  </si>
  <si>
    <t>SPDG</t>
  </si>
  <si>
    <t>State Street SPDR Portfolio S&amp;P Sector Neutral Dividend ETF</t>
  </si>
  <si>
    <t>FTMS</t>
  </si>
  <si>
    <t>Franklin Short-Term Municipal Income ETF</t>
  </si>
  <si>
    <t>VTES</t>
  </si>
  <si>
    <t>Vanguard Short-Term Tax Exempt Bond ETF</t>
  </si>
  <si>
    <t>INMU</t>
  </si>
  <si>
    <t>iShares Intermediate Muni Income Active ETF</t>
  </si>
  <si>
    <t>SPTI</t>
  </si>
  <si>
    <t>State Street SPDR Portfolio Intermediate Term Treasury ETF</t>
  </si>
  <si>
    <t>SBB</t>
  </si>
  <si>
    <t>ProShares Short SmallCap600</t>
  </si>
  <si>
    <t>JOYT</t>
  </si>
  <si>
    <t>JPMorgan Equity and Options Total Return ETF</t>
  </si>
  <si>
    <t>GBF</t>
  </si>
  <si>
    <t>iShares Government/Credit Bond ETF</t>
  </si>
  <si>
    <t>FTNJ</t>
  </si>
  <si>
    <t>Franklin New Jersey Municipal Income ETF</t>
  </si>
  <si>
    <t>VOT</t>
  </si>
  <si>
    <t>Vanguard Mid-Cap Growth ETF</t>
  </si>
  <si>
    <t>QQXT</t>
  </si>
  <si>
    <t>First Trust Nasdaq-100 Ex-Technology Sector Index Fund</t>
  </si>
  <si>
    <t>IBMQ</t>
  </si>
  <si>
    <t>iShares iBonds Dec 2028 Term Muni Bond ETF</t>
  </si>
  <si>
    <t>SEF</t>
  </si>
  <si>
    <t>ProShares Short Financials</t>
  </si>
  <si>
    <t>IBIF</t>
  </si>
  <si>
    <t>iShares iBonds Oct 2029 Term TIPS ETF</t>
  </si>
  <si>
    <t>SKF</t>
  </si>
  <si>
    <t>ProShares UltraShort Financials</t>
  </si>
  <si>
    <t>UPW</t>
  </si>
  <si>
    <t>ProShares Ultra Utilities</t>
  </si>
  <si>
    <t>FTMA</t>
  </si>
  <si>
    <t>Franklin Massachusetts Municipal Income ETF</t>
  </si>
  <si>
    <t>FTMN</t>
  </si>
  <si>
    <t>Franklin Minnesota Municipal Income ETF</t>
  </si>
  <si>
    <t>FBUF</t>
  </si>
  <si>
    <t>Fidelity Dynamic Buffered Equity ETF</t>
  </si>
  <si>
    <t>SZK</t>
  </si>
  <si>
    <t>ProShares UltraShort Consumer Staples</t>
  </si>
  <si>
    <t>FTNY</t>
  </si>
  <si>
    <t>Franklin New York Municipal Income ETF</t>
  </si>
  <si>
    <t>FTOH</t>
  </si>
  <si>
    <t>Franklin Ohio Municipal Income ETF</t>
  </si>
  <si>
    <t>FHEQ</t>
  </si>
  <si>
    <t>Fidelity Hedged Equity ETF</t>
  </si>
  <si>
    <t>UST</t>
  </si>
  <si>
    <t>ProShares Ultra 7-10 Year Treasury</t>
  </si>
  <si>
    <t>LDRI</t>
  </si>
  <si>
    <t>iShares iBonds 1-5 Year TIPS Ladder ETF</t>
  </si>
  <si>
    <t>IBIJ</t>
  </si>
  <si>
    <t>iShares iBonds Oct 2033 Term TIPS ETF</t>
  </si>
  <si>
    <t>MBBA</t>
  </si>
  <si>
    <t>iShares Mortgage-Backed Securities Active ETF</t>
  </si>
  <si>
    <t>SRS</t>
  </si>
  <si>
    <t>ProShares UltraShort Real Estate</t>
  </si>
  <si>
    <t>HELO</t>
  </si>
  <si>
    <t>JPMorgan Hedged Equity Laddered Overlay ETF</t>
  </si>
  <si>
    <t>ITWO</t>
  </si>
  <si>
    <t>ProShares Russell 2000 High Income ETF</t>
  </si>
  <si>
    <t>KBWB</t>
  </si>
  <si>
    <t>Invesco KBW Bank ETF</t>
  </si>
  <si>
    <t>MYHE</t>
  </si>
  <si>
    <t>State Street My2031 High Yield Corporate Bond ETF</t>
  </si>
  <si>
    <t>IYR</t>
  </si>
  <si>
    <t>iShares U.S. Real Estate ETF</t>
  </si>
  <si>
    <t>TOPT</t>
  </si>
  <si>
    <t>iShares Top 20 U.S. Stocks ETF</t>
  </si>
  <si>
    <t>LDRH</t>
  </si>
  <si>
    <t>iShares iBonds 1-5 Year High Yield and Income Ladder ETF</t>
  </si>
  <si>
    <t>XSHQ</t>
  </si>
  <si>
    <t>Invesco S&amp;P SmallCap Quality ETF</t>
  </si>
  <si>
    <t>DFAC</t>
  </si>
  <si>
    <t>Dimensional U.S. Core Equity 2 ETF</t>
  </si>
  <si>
    <t>RB</t>
  </si>
  <si>
    <t>ProShares Russell 2000 Dynamic Buffer ETF</t>
  </si>
  <si>
    <t>BSMW</t>
  </si>
  <si>
    <t>Invesco BulletShares 2032 Municipal Bond ETF</t>
  </si>
  <si>
    <t>DFNM</t>
  </si>
  <si>
    <t>Dimensional National Municipal Bond ETF</t>
  </si>
  <si>
    <t>FDRR</t>
  </si>
  <si>
    <t>Fidelity Dividend ETF for Rising Rates</t>
  </si>
  <si>
    <t>VTWO</t>
  </si>
  <si>
    <t>Vanguard Russell 2000 ETF</t>
  </si>
  <si>
    <t>FGSI</t>
  </si>
  <si>
    <t>FT Vest Growth Strength &amp; Target Income ETF</t>
  </si>
  <si>
    <t>VGMS</t>
  </si>
  <si>
    <t>Vanguard Multi-Sector Income Bond ETF</t>
  </si>
  <si>
    <t>SPUT</t>
  </si>
  <si>
    <t>Innovator Daily PutWrite ETF</t>
  </si>
  <si>
    <t>VTEL</t>
  </si>
  <si>
    <t>Vanguard Long-Term Tax-Exempt Bond ETF</t>
  </si>
  <si>
    <t>DCOR</t>
  </si>
  <si>
    <t>Dimensional US Core Equity 1 ETF</t>
  </si>
  <si>
    <t>KNGZ</t>
  </si>
  <si>
    <t>First Trust S&amp;P 500 Diversified Dividend Aristocrats ETF</t>
  </si>
  <si>
    <t>IBII</t>
  </si>
  <si>
    <t>iShares iBonds Oct 2032 Term TIPS ETF</t>
  </si>
  <si>
    <t>DEED</t>
  </si>
  <si>
    <t>First Trust Securitized Plus ETF</t>
  </si>
  <si>
    <t>INTM</t>
  </si>
  <si>
    <t>Invesco Intermediate Municipal ETF</t>
  </si>
  <si>
    <t>FDND</t>
  </si>
  <si>
    <t>FT Vest Dow Jones Internet &amp; Target Income ETF</t>
  </si>
  <si>
    <t>FCAL</t>
  </si>
  <si>
    <t>First Trust California Municipal High Income ETF</t>
  </si>
  <si>
    <t>IBIL</t>
  </si>
  <si>
    <t>iShares iBonds Oct 2035 Term TIPS ETF</t>
  </si>
  <si>
    <t>IBIG</t>
  </si>
  <si>
    <t>iShares iBonds Oct 2030 Term TIPS ETF</t>
  </si>
  <si>
    <t>IGLB</t>
  </si>
  <si>
    <t>iShares 10+ Year Investment Grade Corporate Bond ETF</t>
  </si>
  <si>
    <t>XLBI</t>
  </si>
  <si>
    <t>State Street Materials Select Sector SPDR Premium Income ETF</t>
  </si>
  <si>
    <t>LDRT</t>
  </si>
  <si>
    <t>iShares iBonds 1-5 Year Treasury Ladder ETF</t>
  </si>
  <si>
    <t>JEPI</t>
  </si>
  <si>
    <t>JPMorgan Equity Premium Income ETF</t>
  </si>
  <si>
    <t>MYMK</t>
  </si>
  <si>
    <t>State Street My2031 Municipal Bond ETF</t>
  </si>
  <si>
    <t>IBGB</t>
  </si>
  <si>
    <t>iShares iBonds Dec 2045 Term Treasury ETF</t>
  </si>
  <si>
    <t>IBGL</t>
  </si>
  <si>
    <t>iShares iBonds Dec 2055 Term Treasury ETF</t>
  </si>
  <si>
    <t>XLY</t>
  </si>
  <si>
    <t>State Street Consumer Discretionary Select Sector SPDR ETF</t>
  </si>
  <si>
    <t>VCR</t>
  </si>
  <si>
    <t>Vanguard Consumer Discretionary ETF</t>
  </si>
  <si>
    <t>SPIN</t>
  </si>
  <si>
    <t>State Street US Equity Premium Income ETF</t>
  </si>
  <si>
    <t>LJUL</t>
  </si>
  <si>
    <t>Innovator Premium Income 15 Buffer ETF - July</t>
  </si>
  <si>
    <t>VTWV</t>
  </si>
  <si>
    <t>Vanguard Russell 2000 Value ETF</t>
  </si>
  <si>
    <t>MYMG</t>
  </si>
  <si>
    <t>State Street My2027 Municipal Bond ETF</t>
  </si>
  <si>
    <t>DOGG</t>
  </si>
  <si>
    <t>FT Vest DJIA Dogs 10 Target Income ETF</t>
  </si>
  <si>
    <t>RSPN</t>
  </si>
  <si>
    <t>Invesco S&amp;P 500 Equal Weight Industrials ETF</t>
  </si>
  <si>
    <t>QQA</t>
  </si>
  <si>
    <t>Invesco QQQ Income Advantage ETF</t>
  </si>
  <si>
    <t>MYMI</t>
  </si>
  <si>
    <t>State Street My2029 Municipal Bond ETF</t>
  </si>
  <si>
    <t>KCE</t>
  </si>
  <si>
    <t>State Street SPDR S&amp;P Capital Markets ETF</t>
  </si>
  <si>
    <t>FTXO</t>
  </si>
  <si>
    <t>First Trust Nasdaq Bank ETF</t>
  </si>
  <si>
    <t>DUHP</t>
  </si>
  <si>
    <t>Dimensional US High Profitability ETF</t>
  </si>
  <si>
    <t>VTG</t>
  </si>
  <si>
    <t>Vanguard Total Treasury ETF</t>
  </si>
  <si>
    <t>FDL</t>
  </si>
  <si>
    <t>First Trust Morningstar Dividend Leaders Index Fund</t>
  </si>
  <si>
    <t>YLDE</t>
  </si>
  <si>
    <t>Franklin ClearBridge Enhanced Income ETF</t>
  </si>
  <si>
    <t>RDVI</t>
  </si>
  <si>
    <t>FT Vest Rising Dividend Achievers Target Income ETF</t>
  </si>
  <si>
    <t>QUAL</t>
  </si>
  <si>
    <t>iShares MSCI USA Quality Factor ETF</t>
  </si>
  <si>
    <t>IBCA</t>
  </si>
  <si>
    <t>iShares iBonds Dec 2035 Term Corporate ETF</t>
  </si>
  <si>
    <t>HIMU</t>
  </si>
  <si>
    <t>iShares High Yield Muni Active ETF</t>
  </si>
  <si>
    <t>PPA</t>
  </si>
  <si>
    <t>Invesco Aerospace &amp; Defense ETF</t>
  </si>
  <si>
    <t>LMUB</t>
  </si>
  <si>
    <t>iShares Long-Term National Muni Bond ETF</t>
  </si>
  <si>
    <t>SH</t>
  </si>
  <si>
    <t>ProShares Short S&amp;P500</t>
  </si>
  <si>
    <t>FIXD</t>
  </si>
  <si>
    <t>First Trust Smith Opportunistic Fixed Income ETF</t>
  </si>
  <si>
    <t>DFGR</t>
  </si>
  <si>
    <t>Dimensional Global Real Estate ETF</t>
  </si>
  <si>
    <t>BALI</t>
  </si>
  <si>
    <t>iShares U.S. Large Cap Premium Income Active ETF</t>
  </si>
  <si>
    <t>POWR</t>
  </si>
  <si>
    <t>iShares U.S. Power Infrastructure ETF</t>
  </si>
  <si>
    <t>SCDS</t>
  </si>
  <si>
    <t>JPMorgan Fundamental Data Science Small Core ETF</t>
  </si>
  <si>
    <t>VTP</t>
  </si>
  <si>
    <t>Vanguard Total Inflation-Protected Securities ETF</t>
  </si>
  <si>
    <t>IQQQ</t>
  </si>
  <si>
    <t>ProShares Nasdaq-100 High Income ETF</t>
  </si>
  <si>
    <t>BLCV</t>
  </si>
  <si>
    <t>iShares Large Cap Value Active ETF</t>
  </si>
  <si>
    <t>LCDS</t>
  </si>
  <si>
    <t>JPMorgan Fundamental Data Science Large Core ETF</t>
  </si>
  <si>
    <t>JULJ</t>
  </si>
  <si>
    <t>Innovator Premium Income 30 Barrier ETF - July</t>
  </si>
  <si>
    <t>FLQS</t>
  </si>
  <si>
    <t>Franklin U.S. Small Cap Multifactor Index ETF</t>
  </si>
  <si>
    <t>IBTP</t>
  </si>
  <si>
    <t>iShares iBonds Dec 2034 Term Treasury ETF</t>
  </si>
  <si>
    <t>ITA</t>
  </si>
  <si>
    <t>iShares U.S. Aerospace &amp; Defense ETF</t>
  </si>
  <si>
    <t>DIA</t>
  </si>
  <si>
    <t>State Street SPDR Dow Jones Industrial Average ETF Trust</t>
  </si>
  <si>
    <t>FMUN</t>
  </si>
  <si>
    <t>Fidelity Systematic Municipal Bond Index ETF</t>
  </si>
  <si>
    <t>IETC</t>
  </si>
  <si>
    <t>iShares U.S. Tech Independence Focused ETF</t>
  </si>
  <si>
    <t>ESGU</t>
  </si>
  <si>
    <t>iShares ESG Aware MSCI USA ETF</t>
  </si>
  <si>
    <t>BBSB</t>
  </si>
  <si>
    <t>JPMorgan BetaBuilders U.S. Treasury Bond 1-3 Year ETF</t>
  </si>
  <si>
    <t>JULH</t>
  </si>
  <si>
    <t>Innovator Premium Income 20 Barrier ETF - July</t>
  </si>
  <si>
    <t>EAOA</t>
  </si>
  <si>
    <t>iShares ESG Aware 80/20 Aggressive Allocation ETF</t>
  </si>
  <si>
    <t>XLF</t>
  </si>
  <si>
    <t>State Street Financial Select Sector SPDR ETF</t>
  </si>
  <si>
    <t>JPHY</t>
  </si>
  <si>
    <t>JPMorgan Active High Yield ETF</t>
  </si>
  <si>
    <t>ISPY</t>
  </si>
  <si>
    <t>ProShares S&amp;P 500 High Income ETF</t>
  </si>
  <si>
    <t>FMUB</t>
  </si>
  <si>
    <t>Fidelity Municipal Bond Opportunities ETF</t>
  </si>
  <si>
    <t>FIIG</t>
  </si>
  <si>
    <t>First Trust Intermediate Duration Investment Grade Corporate ETF</t>
  </si>
  <si>
    <t>IBGK</t>
  </si>
  <si>
    <t>iShares iBonds Dec 2054 Term Treasury ETF</t>
  </si>
  <si>
    <t>IWR</t>
  </si>
  <si>
    <t>iShares Russell Midcap ETF</t>
  </si>
  <si>
    <t>ISCG</t>
  </si>
  <si>
    <t>iShares Morningstar Small-Cap Growth ETF</t>
  </si>
  <si>
    <t>DUG</t>
  </si>
  <si>
    <t>ProShares UltraShort Energy</t>
  </si>
  <si>
    <t>RSPA</t>
  </si>
  <si>
    <t>Invesco S&amp;P 500 Equal Weight Income Advantage ETF</t>
  </si>
  <si>
    <t>VGVT</t>
  </si>
  <si>
    <t>Vanguard Government Securities Active ETF</t>
  </si>
  <si>
    <t>GMUB</t>
  </si>
  <si>
    <t>Goldman Sachs Municipal Income ETF</t>
  </si>
  <si>
    <t>GPRF</t>
  </si>
  <si>
    <t>Goldman Sachs Access U.S. Preferred Stock and Hybrid Securities ETF</t>
  </si>
  <si>
    <t>ITOT</t>
  </si>
  <si>
    <t>iShares Core S&amp;P Total U.S. Stock Market ETF</t>
  </si>
  <si>
    <t>SIZE</t>
  </si>
  <si>
    <t>iShares MSCI USA Size Factor ETF</t>
  </si>
  <si>
    <t>GMNY</t>
  </si>
  <si>
    <t>Goldman Sachs Dynamic New York Municipal Income ETF</t>
  </si>
  <si>
    <t>SAA</t>
  </si>
  <si>
    <t>ProShares Ultra SmallCap600</t>
  </si>
  <si>
    <t>IBDW</t>
  </si>
  <si>
    <t>iShares iBonds Dec 2031 Term Corporate ETF</t>
  </si>
  <si>
    <t>DGRO</t>
  </si>
  <si>
    <t>iShares Core Dividend Growth ETF</t>
  </si>
  <si>
    <t>UXI</t>
  </si>
  <si>
    <t>ProShares Ultra Industrials</t>
  </si>
  <si>
    <t>IBTQ</t>
  </si>
  <si>
    <t>iShares iBonds Dec 2035 Term Treasury ETF</t>
  </si>
  <si>
    <t>VTEC</t>
  </si>
  <si>
    <t>Vanguard California Tax-Exempt Bond ETF</t>
  </si>
  <si>
    <t>DFIP</t>
  </si>
  <si>
    <t>Dimensional Inflation-Protected Securities ETF</t>
  </si>
  <si>
    <t>IBGA</t>
  </si>
  <si>
    <t>iShares iBonds Dec 2044 Term Treasury ETF</t>
  </si>
  <si>
    <t>IGIB</t>
  </si>
  <si>
    <t>iShares 5-10 Year Investment Grade Corporate Bond ETF</t>
  </si>
  <si>
    <t>CLIX</t>
  </si>
  <si>
    <t>ProShares Long Online/Short Stores ETF</t>
  </si>
  <si>
    <t>FLQM</t>
  </si>
  <si>
    <t>Franklin U.S. Mid Cap Multifactor Index ETF</t>
  </si>
  <si>
    <t>SHE</t>
  </si>
  <si>
    <t>State Street SPDR MSCI USA Gender Diversity ETF</t>
  </si>
  <si>
    <t>JMSI</t>
  </si>
  <si>
    <t>JPMorgan Sustainable Municipal Income ETF</t>
  </si>
  <si>
    <t>VIG</t>
  </si>
  <si>
    <t>Vanguard Dividend Appreciation ETF</t>
  </si>
  <si>
    <t>IBMT</t>
  </si>
  <si>
    <t>iShares iBonds Dec 2031 Term Muni Bond ETF</t>
  </si>
  <si>
    <t>VPLS</t>
  </si>
  <si>
    <t>Vanguard Core Plus Bond ETF</t>
  </si>
  <si>
    <t>MYMJ</t>
  </si>
  <si>
    <t>State Street My2030 Municipal Bond ETF</t>
  </si>
  <si>
    <t>IVE</t>
  </si>
  <si>
    <t>iShares S&amp;P 500 Value ETF</t>
  </si>
  <si>
    <t>IUSV</t>
  </si>
  <si>
    <t>iShares Core S&amp;P US Value ETF</t>
  </si>
  <si>
    <t>XLCI</t>
  </si>
  <si>
    <t>State Street Communication Services Select Sector SPDR Premium Income ETF</t>
  </si>
  <si>
    <t>SPYV</t>
  </si>
  <si>
    <t>State Street SPDR Portfolio S&amp;P 500 Value ETF</t>
  </si>
  <si>
    <t>MYMH</t>
  </si>
  <si>
    <t>State Street My2028 Municipal Bond ETF</t>
  </si>
  <si>
    <t>BSSX</t>
  </si>
  <si>
    <t>Invesco BulletShares 2033 Municipal Bond ETF</t>
  </si>
  <si>
    <t>SPXV</t>
  </si>
  <si>
    <t>ProShares S&amp;P 500 Ex-Health Care ETF</t>
  </si>
  <si>
    <t>ISCB</t>
  </si>
  <si>
    <t>iShares Morningstar Small-Cap ETF</t>
  </si>
  <si>
    <t>USIG</t>
  </si>
  <si>
    <t>iShares Broad USD Investment Grade Corporate Bond ETF</t>
  </si>
  <si>
    <t>RFV</t>
  </si>
  <si>
    <t>Invesco S&amp;P Midcap 400 Pure Value ETF</t>
  </si>
  <si>
    <t>BBIB</t>
  </si>
  <si>
    <t>JPMorgan BetaBuilders U.S. Treasury Bond 3-10 Year ETF</t>
  </si>
  <si>
    <t>SPGP</t>
  </si>
  <si>
    <t>Invesco S&amp;P 500 GARP ETF</t>
  </si>
  <si>
    <t>FXD</t>
  </si>
  <si>
    <t>First Trust Consumer Discretionary AlphaDEX Fund</t>
  </si>
  <si>
    <t>XLYI</t>
  </si>
  <si>
    <t>State Street Consumer Discretionary Select Sector SPDR Premium Income ETF</t>
  </si>
  <si>
    <t>REGL</t>
  </si>
  <si>
    <t>ProShares S&amp;P MidCap 400 Dividend Aristocrats ETF</t>
  </si>
  <si>
    <t>IBMS</t>
  </si>
  <si>
    <t>iShares iBonds Dec 2030 Term Muni Bond ETF</t>
  </si>
  <si>
    <t>IBHK</t>
  </si>
  <si>
    <t>iShares iBonds 2031 Term High Yield and Income ETF</t>
  </si>
  <si>
    <t>VIS</t>
  </si>
  <si>
    <t>Vanguard Industrials ETF</t>
  </si>
  <si>
    <t>JCPI</t>
  </si>
  <si>
    <t>JPMorgan Inflation Managed Bond ETF</t>
  </si>
  <si>
    <t>BSJV</t>
  </si>
  <si>
    <t>Invesco BulletShares 2031 High Yield Corporate Bond ETF</t>
  </si>
  <si>
    <t>LOCT</t>
  </si>
  <si>
    <t>Innovator Premium Income 15 Buffer ETF - October</t>
  </si>
  <si>
    <t>QVMS</t>
  </si>
  <si>
    <t>Invesco S&amp;P SmallCap 600 QVM Multi-factor ETF</t>
  </si>
  <si>
    <t>LTTI</t>
  </si>
  <si>
    <t>FT Vest 20+ Year Treasury &amp; Target Income ETF</t>
  </si>
  <si>
    <t>EAOK</t>
  </si>
  <si>
    <t>iShares ESG Aware 30/70 Conservative Allocation ETF</t>
  </si>
  <si>
    <t>GRPZ</t>
  </si>
  <si>
    <t>Invesco S&amp;P SmallCap 600 GARP ETF</t>
  </si>
  <si>
    <t>IBDZ</t>
  </si>
  <si>
    <t>iShares iBonds Dec 2034 Term Corporate ETF</t>
  </si>
  <si>
    <t>PBP</t>
  </si>
  <si>
    <t>Invesco S&amp;P 500 BuyWrite ETF</t>
  </si>
  <si>
    <t>SPXE</t>
  </si>
  <si>
    <t>ProShares S&amp;P 500 Ex-Energy ETF</t>
  </si>
  <si>
    <t>TOPC</t>
  </si>
  <si>
    <t>iShares S&amp;P 500 3% Capped ETF</t>
  </si>
  <si>
    <t>BSCX</t>
  </si>
  <si>
    <t>Invesco BulletShares 2033 Corporate Bond ETF</t>
  </si>
  <si>
    <t>MDIV</t>
  </si>
  <si>
    <t>Multi-Asset Diversified Income Index Fund</t>
  </si>
  <si>
    <t>DFSV</t>
  </si>
  <si>
    <t>Dimensional US Small Cap Value ETF</t>
  </si>
  <si>
    <t>WABF</t>
  </si>
  <si>
    <t>Western Asset Bond ETF</t>
  </si>
  <si>
    <t>PZT</t>
  </si>
  <si>
    <t>Invesco New York AMT-Free Municipal Bond ETF</t>
  </si>
  <si>
    <t>QQQA</t>
  </si>
  <si>
    <t>ProShares Nasdaq-100 Dorsey Wright Momentum ETF</t>
  </si>
  <si>
    <t>BSMU</t>
  </si>
  <si>
    <t>Invesco BulletShares 2030 Municipal Bond ETF</t>
  </si>
  <si>
    <t>BBCB</t>
  </si>
  <si>
    <t>JPMorgan BetaBuilders USD Investment Grade Corporate Bond ETF</t>
  </si>
  <si>
    <t>VTEI</t>
  </si>
  <si>
    <t>Vanguard Intermediate-Term Tax-Exempt Bond ETF</t>
  </si>
  <si>
    <t>BBLB</t>
  </si>
  <si>
    <t>JPMorgan BetaBuilders U.S. Treasury Bond 20+ Year ETF</t>
  </si>
  <si>
    <t>JMHI</t>
  </si>
  <si>
    <t>JPMorgan High Yield Municipal ETF</t>
  </si>
  <si>
    <t>BSMS</t>
  </si>
  <si>
    <t>Invesco BulletShares 2028 Municipal Bond ETF</t>
  </si>
  <si>
    <t>IBHJ</t>
  </si>
  <si>
    <t>iShares iBonds 2030 Term High Yield and Income ETF</t>
  </si>
  <si>
    <t>UGE</t>
  </si>
  <si>
    <t>ProShares Ultra Consumer Staples</t>
  </si>
  <si>
    <t>SPMB</t>
  </si>
  <si>
    <t>State Street SPDR Portfolio Mortgage Backed Bond ETF</t>
  </si>
  <si>
    <t>ISCV</t>
  </si>
  <si>
    <t>iShares Morningstar Small Cap Value ETF</t>
  </si>
  <si>
    <t>RSPD</t>
  </si>
  <si>
    <t>Invesco S&amp;P 500 Equal Weight Consumer Discretionary ETF</t>
  </si>
  <si>
    <t>FBDC</t>
  </si>
  <si>
    <t>FT Confluence BDC &amp; Specialty Finance Income ETF</t>
  </si>
  <si>
    <t>IDU</t>
  </si>
  <si>
    <t>iShares U.S. Utilities ETF</t>
  </si>
  <si>
    <t>FSIG</t>
  </si>
  <si>
    <t>First Trust Limited Duration Investment Grade Corporate ETF</t>
  </si>
  <si>
    <t>RWM</t>
  </si>
  <si>
    <t>ProShares Short Russell2000</t>
  </si>
  <si>
    <t>TWM</t>
  </si>
  <si>
    <t>ProShares UltraShort Russell2000</t>
  </si>
  <si>
    <t>SDS</t>
  </si>
  <si>
    <t>ProShares UltraShort S&amp;P 500</t>
  </si>
  <si>
    <t>CNRG</t>
  </si>
  <si>
    <t>State Street SPDR S&amp;P Kensho Clean Power ETF</t>
  </si>
  <si>
    <t>IBHM</t>
  </si>
  <si>
    <t>iShares iBonds 2033 Term High Yield and Income ETF</t>
  </si>
  <si>
    <t>FIW</t>
  </si>
  <si>
    <t>First Trust Water ETF</t>
  </si>
  <si>
    <t>RFG</t>
  </si>
  <si>
    <t>Invesco S&amp;P Midcap 400 Pure Growth ETF</t>
  </si>
  <si>
    <t>MBND</t>
  </si>
  <si>
    <t>State Street Nuveen Municipal Bond ETF</t>
  </si>
  <si>
    <t>IMTB</t>
  </si>
  <si>
    <t>ishares Core 5-10 Year USD Bond ETF</t>
  </si>
  <si>
    <t>BAB</t>
  </si>
  <si>
    <t>Invesco Taxable Municipal Bond ETF</t>
  </si>
  <si>
    <t>MMTM</t>
  </si>
  <si>
    <t>State Street SPDR S&amp;P 1500 Momentum Tilt ETF</t>
  </si>
  <si>
    <t>USFI</t>
  </si>
  <si>
    <t>BrandywineGLOBAL - U.S. Fixed Income ETF</t>
  </si>
  <si>
    <t>FCOR</t>
  </si>
  <si>
    <t>Fidelity Corporate Bond ETF</t>
  </si>
  <si>
    <t>SPXU</t>
  </si>
  <si>
    <t>ProShares UltraPro Short S&amp;P500</t>
  </si>
  <si>
    <t>FLRG</t>
  </si>
  <si>
    <t>Fidelity U.S. Multifactor ETF</t>
  </si>
  <si>
    <t>FFLC</t>
  </si>
  <si>
    <t>Fidelity Fundamental Large Cap Core ETF</t>
  </si>
  <si>
    <t>FREL</t>
  </si>
  <si>
    <t>Fidelity MSCI Real Estate Index ETF</t>
  </si>
  <si>
    <t>DXD</t>
  </si>
  <si>
    <t>ProShares UltraShort Dow30</t>
  </si>
  <si>
    <t>NVDB</t>
  </si>
  <si>
    <t>ProShares Ultra NVDA</t>
  </si>
  <si>
    <t>IWP</t>
  </si>
  <si>
    <t>iShares Russell Mid-Cap Growth ETF</t>
  </si>
  <si>
    <t>FVAL</t>
  </si>
  <si>
    <t>Fidelity Value Factor ETF</t>
  </si>
  <si>
    <t>JMOM</t>
  </si>
  <si>
    <t>JPMorgan U.S. Momentum Factor ETF</t>
  </si>
  <si>
    <t>IBHI</t>
  </si>
  <si>
    <t>iShares iBonds 2029 Term High Yield and Income ETF</t>
  </si>
  <si>
    <t>IBHH</t>
  </si>
  <si>
    <t>iShares iBonds 2028 Term High Yield and Income ETF</t>
  </si>
  <si>
    <t>INRO</t>
  </si>
  <si>
    <t>iShares U.S. Industry Rotation Active ETF</t>
  </si>
  <si>
    <t>SDOW</t>
  </si>
  <si>
    <t>ProShares UltraPro Short Dow30</t>
  </si>
  <si>
    <t>FMHI</t>
  </si>
  <si>
    <t>First Trust Municipal High Income ETF</t>
  </si>
  <si>
    <t>MFLX</t>
  </si>
  <si>
    <t>First Trust Flexible Municipal High Income ETF</t>
  </si>
  <si>
    <t>FMB</t>
  </si>
  <si>
    <t>First Trust Managed Municipal ETF</t>
  </si>
  <si>
    <t>PFIG</t>
  </si>
  <si>
    <t>Invesco Fundamental Investment Grade Corporate Bond ETF</t>
  </si>
  <si>
    <t>IBDX</t>
  </si>
  <si>
    <t>iShares iBonds Dec 2032 Term Corporate ETF</t>
  </si>
  <si>
    <t>GARP</t>
  </si>
  <si>
    <t>iShares MSCI USA Quality GARP ETF</t>
  </si>
  <si>
    <t>IBDY</t>
  </si>
  <si>
    <t>iShares iBonds Dec 2033 Term Corporate ETF</t>
  </si>
  <si>
    <t>XMVM</t>
  </si>
  <si>
    <t>Invesco S&amp;P MidCap Value with Momentum ETF</t>
  </si>
  <si>
    <t>FMNY</t>
  </si>
  <si>
    <t>First Trust New York Municipal High Income ETF</t>
  </si>
  <si>
    <t>RZG</t>
  </si>
  <si>
    <t>Invesco S&amp;P Smallcap 600 Pure Growth ETF</t>
  </si>
  <si>
    <t>CMBS</t>
  </si>
  <si>
    <t>iShares CMBS ETF</t>
  </si>
  <si>
    <t>CSM</t>
  </si>
  <si>
    <t>ProShares Large Cap Core Plus</t>
  </si>
  <si>
    <t>IBTO</t>
  </si>
  <si>
    <t>iShares iBonds Dec 2033 Term Treasury ETF</t>
  </si>
  <si>
    <t>HYLS</t>
  </si>
  <si>
    <t>First Trust Tactical High Yield ETF</t>
  </si>
  <si>
    <t>GHYG</t>
  </si>
  <si>
    <t>iShares US &amp; Intl High Yield Corp Bond ETF</t>
  </si>
  <si>
    <t>RBLD</t>
  </si>
  <si>
    <t>First Trust Alerian US NextGen Infrastructure ETF</t>
  </si>
  <si>
    <t>GVI</t>
  </si>
  <si>
    <t>iShares Intermediate Government/Credit Bond ETF</t>
  </si>
  <si>
    <t>PSCM</t>
  </si>
  <si>
    <t>Invesco S&amp;P SmallCap Materials ETF</t>
  </si>
  <si>
    <t>JMUB</t>
  </si>
  <si>
    <t>JPMorgan Municipal ETF</t>
  </si>
  <si>
    <t>IFLN</t>
  </si>
  <si>
    <t>Invesco Bloomberg Enhanced Fallen Angels ETF</t>
  </si>
  <si>
    <t>IGHG</t>
  </si>
  <si>
    <t>ProShares Investment Grade-Interest Rate Hedged</t>
  </si>
  <si>
    <t>GNMA</t>
  </si>
  <si>
    <t>iShares GNMA Bond ETF</t>
  </si>
  <si>
    <t>FXG</t>
  </si>
  <si>
    <t>First Trust Consumer Staples AlphaDEX Fund</t>
  </si>
  <si>
    <t>FLMI</t>
  </si>
  <si>
    <t>Franklin Dynamic Municipal Bond ETF</t>
  </si>
  <si>
    <t>FESM</t>
  </si>
  <si>
    <t>Fidelity Enhanced Small Cap Core ETF</t>
  </si>
  <si>
    <t>MCDS</t>
  </si>
  <si>
    <t>JPMorgan Fundamental Data Science Mid Core ETF</t>
  </si>
  <si>
    <t>QLTA</t>
  </si>
  <si>
    <t>iShares Aaa-A Rated Corporate Bond ETF</t>
  </si>
  <si>
    <t>LDSF</t>
  </si>
  <si>
    <t>First Trust Low Duration Strategic Focus ETF</t>
  </si>
  <si>
    <t>SQLV</t>
  </si>
  <si>
    <t>Royce Quant Small-Cap Quality Value ETF</t>
  </si>
  <si>
    <t>USHY</t>
  </si>
  <si>
    <t>iShares Broad USD High Yield Corporate Bond ETF</t>
  </si>
  <si>
    <t>QNXT</t>
  </si>
  <si>
    <t>iShares Nasdaq-100 ex Top 30 ETF</t>
  </si>
  <si>
    <t>REW</t>
  </si>
  <si>
    <t>ProShares UltraShort Technology</t>
  </si>
  <si>
    <t>KNG</t>
  </si>
  <si>
    <t>FT Vest S&amp;P 500 Dividend Aristocrats Target Income ETF</t>
  </si>
  <si>
    <t>EMOT</t>
  </si>
  <si>
    <t>First Trust S&amp;P 500 Economic Moat ETF</t>
  </si>
  <si>
    <t>IBDS</t>
  </si>
  <si>
    <t>iShares iBonds Dec 2027 Term Corporate ETF</t>
  </si>
  <si>
    <t>RSPS</t>
  </si>
  <si>
    <t>Invesco S&amp;P 500 Equal Weight Consumer Staples ETF</t>
  </si>
  <si>
    <t>SUSC</t>
  </si>
  <si>
    <t>iShares ESG Aware USD Corporate Bond ETF</t>
  </si>
  <si>
    <t>HYBB</t>
  </si>
  <si>
    <t>iShares BB Rated Corporate Bond ETF</t>
  </si>
  <si>
    <t>BBAG</t>
  </si>
  <si>
    <t>JPMorgan BetaBuilders U.S. Aggregate Bond ETF</t>
  </si>
  <si>
    <t>PXI</t>
  </si>
  <si>
    <t>Invesco Dorsey Wright Energy Momentum ETF</t>
  </si>
  <si>
    <t>GHYB</t>
  </si>
  <si>
    <t>Goldman Sachs Access High Yield Corporate Bond ETF</t>
  </si>
  <si>
    <t>HYXF</t>
  </si>
  <si>
    <t>iShares ESG Advanced High Yield Corporate Bond ETF</t>
  </si>
  <si>
    <t>SPTL</t>
  </si>
  <si>
    <t>State Street SPDR Portfolio Long Term Treasury ETF</t>
  </si>
  <si>
    <t>IBDU</t>
  </si>
  <si>
    <t>iShares iBonds Dec 2029 Term Corporate ETF</t>
  </si>
  <si>
    <t>BYLD</t>
  </si>
  <si>
    <t>iShares Yield Optimized Bond ETF</t>
  </si>
  <si>
    <t>FFLG</t>
  </si>
  <si>
    <t>Fidelity Fundamental Large Cap Growth ETF</t>
  </si>
  <si>
    <t>AFLG</t>
  </si>
  <si>
    <t>First Trust Active Factor Large Cap ETF</t>
  </si>
  <si>
    <t>CMF</t>
  </si>
  <si>
    <t>iShares California Muni Bond ETF</t>
  </si>
  <si>
    <t>BBHY</t>
  </si>
  <si>
    <t>JPMorgan BetaBuilders USD High Yield Corporate Bond ETF</t>
  </si>
  <si>
    <t>LTL</t>
  </si>
  <si>
    <t>ProShares Ultra Communication Services</t>
  </si>
  <si>
    <t>IBHG</t>
  </si>
  <si>
    <t>iShares iBonds 2027 Term High Yield and Income ETF</t>
  </si>
  <si>
    <t>VCEB</t>
  </si>
  <si>
    <t>Vanguard ESG U.S. Corporate Bond ETF</t>
  </si>
  <si>
    <t>VBCH</t>
  </si>
  <si>
    <t>Vanguard Target Maturity 2034 Corporate Bond ETF</t>
  </si>
  <si>
    <t>IBTI</t>
  </si>
  <si>
    <t>iShares iBonds Dec 2028 Term Treasury ETF</t>
  </si>
  <si>
    <t>OMFS</t>
  </si>
  <si>
    <t>Invesco Russell 2000 Dynamic Multifactor ETF</t>
  </si>
  <si>
    <t>IBTJ</t>
  </si>
  <si>
    <t>iShares iBonds Dec 2029 Term Treasury ETF</t>
  </si>
  <si>
    <t>IBHF</t>
  </si>
  <si>
    <t>iShares iBonds 2026 Term High Yield and Income ETF</t>
  </si>
  <si>
    <t>IUS</t>
  </si>
  <si>
    <t>Invesco RAFI Strategic US ETF</t>
  </si>
  <si>
    <t>XLG</t>
  </si>
  <si>
    <t>Invesco S&amp;P 500 Top 50 ETF</t>
  </si>
  <si>
    <t>GOVI</t>
  </si>
  <si>
    <t>Invesco Equal Weight 0-30 Year Treasury ETF</t>
  </si>
  <si>
    <t>DXUV</t>
  </si>
  <si>
    <t>Dimensional US Vector Equity ETF</t>
  </si>
  <si>
    <t>DFLV</t>
  </si>
  <si>
    <t>Dimensional US Large Cap Value ETF</t>
  </si>
  <si>
    <t>TECB</t>
  </si>
  <si>
    <t>iShares U.S. Tech Breakthrough Multisector ETF</t>
  </si>
  <si>
    <t>SPXT</t>
  </si>
  <si>
    <t>ProShares S&amp;P 500 Ex-Technology ETF</t>
  </si>
  <si>
    <t>PSCU</t>
  </si>
  <si>
    <t>Invesco S&amp;P SmallCap Utilities &amp; Communication Services ETF</t>
  </si>
  <si>
    <t>DFVX</t>
  </si>
  <si>
    <t>Dimensional US Large Cap Vector ETF</t>
  </si>
  <si>
    <t>USPX</t>
  </si>
  <si>
    <t>Franklin U.S. Equity Index ETF</t>
  </si>
  <si>
    <t>FLQL</t>
  </si>
  <si>
    <t>Franklin U.S. Large Cap Multifactor Index ETF</t>
  </si>
  <si>
    <t>UMDD</t>
  </si>
  <si>
    <t>ProShares UltraPro MidCap400</t>
  </si>
  <si>
    <t>BBSC</t>
  </si>
  <si>
    <t>JPMorgan BetaBuilders U.S. Small Cap Equity Fund</t>
  </si>
  <si>
    <t>VONV</t>
  </si>
  <si>
    <t>Vanguard Russell 1000 Value ETF</t>
  </si>
  <si>
    <t>PGF</t>
  </si>
  <si>
    <t>Invesco Financial Preferred ETF</t>
  </si>
  <si>
    <t>IEDI</t>
  </si>
  <si>
    <t>iShares U.S. Consumer Focused ETF</t>
  </si>
  <si>
    <t>TROT</t>
  </si>
  <si>
    <t>Invesco MSCI Treasury Duration Rotation ETF</t>
  </si>
  <si>
    <t>PVI</t>
  </si>
  <si>
    <t>Invesco Floating Rate Municipal Income ETF</t>
  </si>
  <si>
    <t>JUST</t>
  </si>
  <si>
    <t>Goldman Sachs JUST U.S. Large Cap Equity ETF</t>
  </si>
  <si>
    <t>IWX</t>
  </si>
  <si>
    <t>iShares Russell Top 200 Value ETF</t>
  </si>
  <si>
    <t>ILTB</t>
  </si>
  <si>
    <t>iShares Core 10+ Year USD Bond ETF</t>
  </si>
  <si>
    <t>PRF</t>
  </si>
  <si>
    <t>Invesco RAFI US 1000 ETF</t>
  </si>
  <si>
    <t>IMTG</t>
  </si>
  <si>
    <t>Invesco Agency MBS ETF</t>
  </si>
  <si>
    <t>SKYU</t>
  </si>
  <si>
    <t>ProShares Ultra Nasdaq Cloud Computing ETF</t>
  </si>
  <si>
    <t>MADE</t>
  </si>
  <si>
    <t>iShares U.S. Manufacturing ETF</t>
  </si>
  <si>
    <t>XOEF</t>
  </si>
  <si>
    <t>iShares S&amp;P 500 ex S&amp;P 100 ETF</t>
  </si>
  <si>
    <t>VFMV</t>
  </si>
  <si>
    <t>Vanguard U.S. Minimum Volatility ETF</t>
  </si>
  <si>
    <t>GVUS</t>
  </si>
  <si>
    <t>Marketbeta Russell 1000 Value Equity ETF</t>
  </si>
  <si>
    <t>VFVA</t>
  </si>
  <si>
    <t>Vanguard U.S. Value Factor ETF</t>
  </si>
  <si>
    <t>TLTW</t>
  </si>
  <si>
    <t>iShares 20+ Year Treasury Bond BuyWrite Strategy ETF</t>
  </si>
  <si>
    <t>BBMC</t>
  </si>
  <si>
    <t>JPMorgan BetaBuilders U.S. Mid Cap Equity ETF</t>
  </si>
  <si>
    <t>USXF</t>
  </si>
  <si>
    <t>iShares ESG Advanced MSCI USA ETF</t>
  </si>
  <si>
    <t>VLU</t>
  </si>
  <si>
    <t>State Street SPDR S&amp;P 1500 Value Tilt ETF</t>
  </si>
  <si>
    <t>FNCL</t>
  </si>
  <si>
    <t>Fidelity MSCI Financials Index ETF</t>
  </si>
  <si>
    <t>QVML</t>
  </si>
  <si>
    <t>Invesco S&amp;P 500 QVM Multi-factor ETF</t>
  </si>
  <si>
    <t>PABU</t>
  </si>
  <si>
    <t>iShares Paris-Aligned Climate Optimized MSCI USA ETF</t>
  </si>
  <si>
    <t>UDIV</t>
  </si>
  <si>
    <t>Franklin U.S. Core Dividend Tilt Index ETF</t>
  </si>
  <si>
    <t>RDVY</t>
  </si>
  <si>
    <t>First Trust Rising Dividend Achievers ETF</t>
  </si>
  <si>
    <t>XVV</t>
  </si>
  <si>
    <t>iShares ESG Select Screened S&amp;P 500 ETF</t>
  </si>
  <si>
    <t>PBUS</t>
  </si>
  <si>
    <t>Invesco MSCI USA ETF</t>
  </si>
  <si>
    <t>ONEO</t>
  </si>
  <si>
    <t>State Street SPDR Russell 1000 Momentum Focus ETF</t>
  </si>
  <si>
    <t>VTHR</t>
  </si>
  <si>
    <t>Vanguard Russell 3000 ETF</t>
  </si>
  <si>
    <t>PYZ</t>
  </si>
  <si>
    <t>Invesco Dorsey Wright Basic Materials Momentum ETF</t>
  </si>
  <si>
    <t>JUSA</t>
  </si>
  <si>
    <t>JPMorgan U.S. Research Enhanced Large Cap ETF</t>
  </si>
  <si>
    <t>SLYV</t>
  </si>
  <si>
    <t>State Street SPDR S&amp;P 600 Small Cap Value ETF</t>
  </si>
  <si>
    <t>EQWL</t>
  </si>
  <si>
    <t>Invesco S&amp;P 100 Equal Weight ETF</t>
  </si>
  <si>
    <t>XHS</t>
  </si>
  <si>
    <t>State Street SPDR S&amp;P Health Care Services ETF</t>
  </si>
  <si>
    <t>HEQQ</t>
  </si>
  <si>
    <t>JPMorgan Nasdaq Hedged Equity Laddered Overlay ETF</t>
  </si>
  <si>
    <t>BBUS</t>
  </si>
  <si>
    <t>JPMorgan BetaBuilders U.S. Equity ETF</t>
  </si>
  <si>
    <t>AFSM</t>
  </si>
  <si>
    <t>First Trust Active Factor Small Cap ETF</t>
  </si>
  <si>
    <t>RSPC</t>
  </si>
  <si>
    <t>Invesco S&amp;P 500 Equal Weight Communication Services ETF</t>
  </si>
  <si>
    <t>ILCV</t>
  </si>
  <si>
    <t>iShares Morningstar Value ETF</t>
  </si>
  <si>
    <t>PHDG</t>
  </si>
  <si>
    <t>Invesco S&amp;P 500 Downside Hedged ETF</t>
  </si>
  <si>
    <t>JPME</t>
  </si>
  <si>
    <t>JPMorgan Diversified Return U.S. Mid Cap Equity ETF</t>
  </si>
  <si>
    <t>GSUS</t>
  </si>
  <si>
    <t>Goldman Sachs MarketBeta U.S. Equity ETF</t>
  </si>
  <si>
    <t>SMMD</t>
  </si>
  <si>
    <t>iShares Russell 2500 ETF</t>
  </si>
  <si>
    <t>SPYX</t>
  </si>
  <si>
    <t>State Street SPDR S&amp;P 500 Fossil Fuel Reserves Free ETF</t>
  </si>
  <si>
    <t>JPUS</t>
  </si>
  <si>
    <t>JPMorgan Diversified Return Use Equity</t>
  </si>
  <si>
    <t>JPSE</t>
  </si>
  <si>
    <t>JPMorgan Diversified Return U.S. Small Cap Equity ETF</t>
  </si>
  <si>
    <t>GSSC</t>
  </si>
  <si>
    <t>TR Activebeta US Small Cap Equity ETF</t>
  </si>
  <si>
    <t>BLCR</t>
  </si>
  <si>
    <t>iShares Large Cap Core Active ETF</t>
  </si>
  <si>
    <t>REK</t>
  </si>
  <si>
    <t>ProShares Short Real Estate</t>
  </si>
  <si>
    <t>IYY</t>
  </si>
  <si>
    <t>iShares Dow Jones U.S. ETF</t>
  </si>
  <si>
    <t>FMDE</t>
  </si>
  <si>
    <t>Fidelity Enhanced Mid Cap Core ETF</t>
  </si>
  <si>
    <t>IMCV</t>
  </si>
  <si>
    <t>iShares Morningstar Mid-Cap Value ETF</t>
  </si>
  <si>
    <t>IYG</t>
  </si>
  <si>
    <t>iShares US Financial Services ETF</t>
  </si>
  <si>
    <t>THRO</t>
  </si>
  <si>
    <t>iShares U.S. Thematic Rotation Active ETF</t>
  </si>
  <si>
    <t>SMLF</t>
  </si>
  <si>
    <t>iShares U.S. SmallCap Equity Factor ETF</t>
  </si>
  <si>
    <t>PRFZ</t>
  </si>
  <si>
    <t>Invesco RAFI US 1500 Small-Mid ETF</t>
  </si>
  <si>
    <t>ILCB</t>
  </si>
  <si>
    <t>iShares Morningstar U.S. Equity ETF</t>
  </si>
  <si>
    <t>QVMM</t>
  </si>
  <si>
    <t>Invesco S&amp;P MidCap 400 QVM Multi-factor ETF</t>
  </si>
  <si>
    <t>SSG</t>
  </si>
  <si>
    <t>Proshares Ultrashort Semiconductors</t>
  </si>
  <si>
    <t>FAD</t>
  </si>
  <si>
    <t>First Trust Multi Cap Growth AlphaDEX Fund</t>
  </si>
  <si>
    <t>FCTR</t>
  </si>
  <si>
    <t>First Trust Lunt U.S. Factor Rotation ETF</t>
  </si>
  <si>
    <t>DFSU</t>
  </si>
  <si>
    <t>Dimensional US Sustainability Core 1 ETF</t>
  </si>
  <si>
    <t>MYY</t>
  </si>
  <si>
    <t>ProShares Short S&amp;P Mid Cap400</t>
  </si>
  <si>
    <t>USCL</t>
  </si>
  <si>
    <t>iShares Climate Conscious &amp; Transition MSCI USA ETF</t>
  </si>
  <si>
    <t>VONG</t>
  </si>
  <si>
    <t>Vanguard Russell 1000 Growth ETF</t>
  </si>
  <si>
    <t>IMCB</t>
  </si>
  <si>
    <t>iShares Morningstar Mid-Cap ETF</t>
  </si>
  <si>
    <t>ONEV</t>
  </si>
  <si>
    <t>State Street SPDR Russell 1000 Low Volatility Focus ETF</t>
  </si>
  <si>
    <t>ESML</t>
  </si>
  <si>
    <t>iShares ESG Aware MSCI USA Small-Cap ETF</t>
  </si>
  <si>
    <t>GSLC</t>
  </si>
  <si>
    <t>TR Activebeta US Large Cap Equity ETF</t>
  </si>
  <si>
    <t>XJR</t>
  </si>
  <si>
    <t>iShares ESG Select Screened S&amp;P Small-Cap ETF</t>
  </si>
  <si>
    <t>GSC</t>
  </si>
  <si>
    <t>Goldman Sachs Small Cap Equity ETF</t>
  </si>
  <si>
    <t>FXR</t>
  </si>
  <si>
    <t>First Trust Industrials/Producer Durables AlphaDEX Fund</t>
  </si>
  <si>
    <t>SUSA</t>
  </si>
  <si>
    <t>iShares ESG Optimized MSCI USA ETF</t>
  </si>
  <si>
    <t>ESMV</t>
  </si>
  <si>
    <t>iShares ESG Optimized MSCI USA Min Vol Factor ETF</t>
  </si>
  <si>
    <t>LCTU</t>
  </si>
  <si>
    <t>iShares U.S. Carbon Transition Readiness Aware Active ETF</t>
  </si>
  <si>
    <t>FXZ</t>
  </si>
  <si>
    <t>First Trust Materials AlphaDEX Fund</t>
  </si>
  <si>
    <t>VIOG</t>
  </si>
  <si>
    <t>Vanguard S&amp;P Small-Cap 600 Growth ETF</t>
  </si>
  <si>
    <t>LGLV</t>
  </si>
  <si>
    <t>State Street SPDR US Large Cap Low Volatility Index ETF</t>
  </si>
  <si>
    <t>SDP</t>
  </si>
  <si>
    <t>ProShares UltraShort Utilities</t>
  </si>
  <si>
    <t>SDVY</t>
  </si>
  <si>
    <t>First Trust SMID Cap Rising Dividend Achievers ETF</t>
  </si>
  <si>
    <t>XPND</t>
  </si>
  <si>
    <t>First Trust Expanded Technology ETF</t>
  </si>
  <si>
    <t>PSL</t>
  </si>
  <si>
    <t>Invesco Dorsey Wright Consumer Staples Momentum ETF</t>
  </si>
  <si>
    <t>HAIL</t>
  </si>
  <si>
    <t>State Street SPDR S&amp;P Kensho Smart Mobility ETF</t>
  </si>
  <si>
    <t>MZZ</t>
  </si>
  <si>
    <t>ProShares UltraShort MidCap400</t>
  </si>
  <si>
    <t>SMDD</t>
  </si>
  <si>
    <t>ProShares UltraPro Short MidCap400</t>
  </si>
  <si>
    <t>CWB</t>
  </si>
  <si>
    <t>State Street SPDR Bloomberg Convertible Securities ETF</t>
  </si>
  <si>
    <t>SIJ</t>
  </si>
  <si>
    <t>ProShares UltraShort Industrials</t>
  </si>
  <si>
    <t>VBCA</t>
  </si>
  <si>
    <t>Vanguard Target Maturity 2027 Corporate Bond ETF</t>
  </si>
  <si>
    <t>QQXL</t>
  </si>
  <si>
    <t>ProShares Ultra QQQ Top 30</t>
  </si>
  <si>
    <t>VBCJ</t>
  </si>
  <si>
    <t>Vanguard Target Maturity 2036 Corporate Bond ETF</t>
  </si>
  <si>
    <t>MDYG</t>
  </si>
  <si>
    <t>State Street SPDR S&amp;P 400 Mid Cap Growth ETF</t>
  </si>
  <si>
    <t>IJK</t>
  </si>
  <si>
    <t>iShares S&amp;P Mid-Cap 400 Growth ETF</t>
  </si>
  <si>
    <t>UCC</t>
  </si>
  <si>
    <t>ProShares Ultra Consumer Discretionary</t>
  </si>
  <si>
    <t>FHLC</t>
  </si>
  <si>
    <t>Fidelity MSCI Health Care Index ETF</t>
  </si>
  <si>
    <t>VBCI</t>
  </si>
  <si>
    <t>Vanguard Target Maturity 2035 Corporate Bond ETF</t>
  </si>
  <si>
    <t>DALI</t>
  </si>
  <si>
    <t>First Trust Dorsey Wright DALI Equity ETF</t>
  </si>
  <si>
    <t>REZ</t>
  </si>
  <si>
    <t>iShares Residential and Multisector Real Estate ETF</t>
  </si>
  <si>
    <t>RXD</t>
  </si>
  <si>
    <t>ProShares UltraShort Health Care</t>
  </si>
  <si>
    <t>IBGM</t>
  </si>
  <si>
    <t>iShares iBonds Dec 2056 Term Treasury ETF</t>
  </si>
  <si>
    <t>SMMV</t>
  </si>
  <si>
    <t>iShares MSCI USA Small-Cap Min Vol Factor ETF</t>
  </si>
  <si>
    <t>IBGC</t>
  </si>
  <si>
    <t>iShares iBonds Dec 2046 Term Treasury ETF</t>
  </si>
  <si>
    <t>RSPM</t>
  </si>
  <si>
    <t>Invesco S&amp;P 500 Equal Weight Materials ETF</t>
  </si>
  <si>
    <t>VBCG</t>
  </si>
  <si>
    <t>Vanguard Target Maturity 2033 Corporate Bond ETF</t>
  </si>
  <si>
    <t>SFLR</t>
  </si>
  <si>
    <t>Innovator Equity Managed Floor ETF</t>
  </si>
  <si>
    <t>ESBG</t>
  </si>
  <si>
    <t>First Trust Enhanced Stocks, Bonds &amp; Gold ETF</t>
  </si>
  <si>
    <t>IBCB</t>
  </si>
  <si>
    <t>iShares iBonds Dec 2036 Term Corporate ETF</t>
  </si>
  <si>
    <t>SIMS</t>
  </si>
  <si>
    <t>State Street SPDR S&amp;P Kensho Intelligent Structures ETF</t>
  </si>
  <si>
    <t>IBTR</t>
  </si>
  <si>
    <t>iShares iBonds Dec 2036 Term Treasury ETF</t>
  </si>
  <si>
    <t>BFRZ</t>
  </si>
  <si>
    <t>Innovator Equity Managed 100 Buffer ETF</t>
  </si>
  <si>
    <t>URSP</t>
  </si>
  <si>
    <t>ProShares Ultra S&amp;P 500 Equal Weight</t>
  </si>
  <si>
    <t>GGUS</t>
  </si>
  <si>
    <t>Marketbeta Russell 1000 Growth Equity ETF</t>
  </si>
  <si>
    <t>VBCF</t>
  </si>
  <si>
    <t>Vanguard Target Maturity 2032 Corporate Bond ETF</t>
  </si>
  <si>
    <t>QOWZ</t>
  </si>
  <si>
    <t>Invesco Nasdaq Free Cash Flow Achievers ETF</t>
  </si>
  <si>
    <t>VBCE</t>
  </si>
  <si>
    <t>Vanguard Target Maturity 2031 Corporate Bond ETF</t>
  </si>
  <si>
    <t>VBCD</t>
  </si>
  <si>
    <t>Vanguard Target Maturity 2030 Corporate Bond ETF</t>
  </si>
  <si>
    <t>VBCC</t>
  </si>
  <si>
    <t>Vanguard Target Maturity 2029 Corporate Bond ETF</t>
  </si>
  <si>
    <t>PBJ</t>
  </si>
  <si>
    <t>Invesco Food &amp; Beverage ETF</t>
  </si>
  <si>
    <t>IBMV</t>
  </si>
  <si>
    <t>iShares iBonds Dec 2033 Term Muni Bond ETF</t>
  </si>
  <si>
    <t>VBCB</t>
  </si>
  <si>
    <t>Vanguard Target Maturity 2028 Corporate Bond ETF</t>
  </si>
  <si>
    <t>IBMW</t>
  </si>
  <si>
    <t>iShares iBonds Dec 2034 Term Muni Bond ETF</t>
  </si>
  <si>
    <t>IBMU</t>
  </si>
  <si>
    <t>iShares iBonds Dec 2032 Term Muni Bond ETF</t>
  </si>
  <si>
    <t>IBMX</t>
  </si>
  <si>
    <t>iShares iBonds Dec 2035 Term Muni Bond ETF</t>
  </si>
  <si>
    <t>ENHU</t>
  </si>
  <si>
    <t>iShares Enhanced Large Cap Core Active ETF</t>
  </si>
  <si>
    <t>DGLO</t>
  </si>
  <si>
    <t>First Trust RBA Deglobalization ETF</t>
  </si>
  <si>
    <t>FSML</t>
  </si>
  <si>
    <t>Franklin Small Cap Enhanced ETF</t>
  </si>
  <si>
    <t>KBFR</t>
  </si>
  <si>
    <t>Innovator U.S. Small Cap Managed 10 Buffer ETF</t>
  </si>
  <si>
    <t>XBFR</t>
  </si>
  <si>
    <t>Innovator Equity Managed 10 Buffer ETF</t>
  </si>
  <si>
    <t>AIRR</t>
  </si>
  <si>
    <t>GMUN</t>
  </si>
  <si>
    <t>ROM</t>
  </si>
  <si>
    <t>BITB</t>
  </si>
  <si>
    <t>BITI</t>
  </si>
  <si>
    <t>BITO</t>
  </si>
  <si>
    <t>BITU</t>
  </si>
  <si>
    <t>BRRR</t>
  </si>
  <si>
    <t>BTC</t>
  </si>
  <si>
    <t>BTCI</t>
  </si>
  <si>
    <t>BTCO</t>
  </si>
  <si>
    <t>ETH</t>
  </si>
  <si>
    <t>ETHA</t>
  </si>
  <si>
    <t>ETHE</t>
  </si>
  <si>
    <t>ETHT</t>
  </si>
  <si>
    <t>ETHW</t>
  </si>
  <si>
    <t>EZBC</t>
  </si>
  <si>
    <t>FBTC</t>
  </si>
  <si>
    <t>FETH</t>
  </si>
  <si>
    <t>GBTC</t>
  </si>
  <si>
    <t>IBIT</t>
  </si>
  <si>
    <t>SBIT</t>
  </si>
  <si>
    <t>EPAM</t>
  </si>
  <si>
    <t>MISL</t>
  </si>
  <si>
    <t>QCLN</t>
  </si>
  <si>
    <t>SCHD</t>
  </si>
  <si>
    <t>SLV</t>
  </si>
  <si>
    <t>VXUS</t>
  </si>
  <si>
    <t>XIJN</t>
  </si>
  <si>
    <t>AssetClass</t>
  </si>
  <si>
    <t>EQ</t>
  </si>
  <si>
    <t>InOld</t>
  </si>
  <si>
    <t>found</t>
  </si>
  <si>
    <t>not found</t>
  </si>
  <si>
    <t>InNew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</si>
</sst>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2195-2266-44D8-9CD2-3B8F45818A69}">
  <dimension ref="A1:L1370"/>
  <sheetViews>
    <sheetView tabSelected="1" topLeftCell="B1" workbookViewId="0">
      <pane ySplit="1" topLeftCell="A2" activePane="bottomLeft" state="frozen"/>
      <selection pane="bottomLeft" activeCell="G1" sqref="G1"/>
    </sheetView>
  </sheetViews>
  <sheetFormatPr defaultRowHeight="14.35" x14ac:dyDescent="0.5"/>
  <cols>
    <col min="1" max="1" width="6.703125" bestFit="1" customWidth="1"/>
    <col min="2" max="2" width="5.17578125" bestFit="1" customWidth="1"/>
    <col min="3" max="3" width="62.41015625" bestFit="1" customWidth="1"/>
    <col min="4" max="4" width="11.703125" bestFit="1" customWidth="1"/>
    <col min="5" max="5" width="11.05859375" customWidth="1"/>
    <col min="6" max="6" width="9.41015625" bestFit="1" customWidth="1"/>
    <col min="7" max="7" width="15.17578125" bestFit="1" customWidth="1"/>
    <col min="8" max="8" width="8" bestFit="1" customWidth="1"/>
    <col min="9" max="9" width="11.5859375" bestFit="1" customWidth="1"/>
    <col min="10" max="10" width="22.64453125" bestFit="1" customWidth="1"/>
    <col min="11" max="11" width="25.46875" bestFit="1" customWidth="1"/>
    <col min="12" max="12" width="27.64453125" bestFit="1" customWidth="1"/>
  </cols>
  <sheetData>
    <row r="1" spans="1:12" s="2" customForma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5">
      <c r="A2" t="s">
        <v>12</v>
      </c>
      <c r="B2" t="s">
        <v>2817</v>
      </c>
      <c r="C2" t="s">
        <v>13</v>
      </c>
      <c r="D2" s="1">
        <v>1.1000000000000001E-3</v>
      </c>
      <c r="E2">
        <v>83.7</v>
      </c>
      <c r="F2" t="s">
        <v>14</v>
      </c>
      <c r="G2" t="s">
        <v>15</v>
      </c>
      <c r="H2" t="s">
        <v>16</v>
      </c>
      <c r="I2">
        <v>77.97</v>
      </c>
      <c r="J2" t="s">
        <v>17</v>
      </c>
      <c r="K2" t="s">
        <v>18</v>
      </c>
      <c r="L2" t="s">
        <v>19</v>
      </c>
    </row>
    <row r="3" spans="1:12" x14ac:dyDescent="0.5">
      <c r="A3" t="s">
        <v>20</v>
      </c>
      <c r="B3" t="s">
        <v>2817</v>
      </c>
      <c r="C3" t="s">
        <v>21</v>
      </c>
      <c r="D3" s="1">
        <v>4.1999999999999997E-3</v>
      </c>
      <c r="E3">
        <v>83.7</v>
      </c>
      <c r="F3" t="s">
        <v>14</v>
      </c>
      <c r="G3" t="s">
        <v>15</v>
      </c>
      <c r="H3" t="s">
        <v>16</v>
      </c>
      <c r="I3">
        <v>83.51</v>
      </c>
      <c r="J3" t="s">
        <v>17</v>
      </c>
      <c r="K3" t="s">
        <v>18</v>
      </c>
      <c r="L3" t="s">
        <v>22</v>
      </c>
    </row>
    <row r="4" spans="1:12" x14ac:dyDescent="0.5">
      <c r="A4" t="s">
        <v>23</v>
      </c>
      <c r="B4" t="s">
        <v>2817</v>
      </c>
      <c r="C4" t="s">
        <v>24</v>
      </c>
      <c r="D4" s="1">
        <v>1.4E-3</v>
      </c>
      <c r="E4">
        <v>73.5</v>
      </c>
      <c r="F4" t="s">
        <v>14</v>
      </c>
      <c r="G4" t="s">
        <v>15</v>
      </c>
      <c r="H4" t="s">
        <v>16</v>
      </c>
      <c r="I4">
        <v>76.03</v>
      </c>
      <c r="J4" t="s">
        <v>17</v>
      </c>
      <c r="K4" t="s">
        <v>18</v>
      </c>
      <c r="L4" t="s">
        <v>25</v>
      </c>
    </row>
    <row r="5" spans="1:12" x14ac:dyDescent="0.5">
      <c r="A5" t="s">
        <v>26</v>
      </c>
      <c r="B5" t="s">
        <v>2817</v>
      </c>
      <c r="C5" t="s">
        <v>27</v>
      </c>
      <c r="D5" t="s">
        <v>28</v>
      </c>
      <c r="E5">
        <v>92</v>
      </c>
      <c r="F5" t="s">
        <v>14</v>
      </c>
      <c r="G5" t="s">
        <v>15</v>
      </c>
      <c r="H5" t="s">
        <v>16</v>
      </c>
      <c r="I5">
        <v>80.959999999999994</v>
      </c>
      <c r="J5" t="s">
        <v>17</v>
      </c>
      <c r="K5" t="s">
        <v>18</v>
      </c>
      <c r="L5" t="s">
        <v>29</v>
      </c>
    </row>
    <row r="6" spans="1:12" x14ac:dyDescent="0.5">
      <c r="A6" t="s">
        <v>30</v>
      </c>
      <c r="B6" t="s">
        <v>2817</v>
      </c>
      <c r="C6" t="s">
        <v>31</v>
      </c>
      <c r="D6" t="s">
        <v>28</v>
      </c>
      <c r="E6">
        <v>99.7</v>
      </c>
      <c r="F6" t="s">
        <v>14</v>
      </c>
      <c r="G6" t="s">
        <v>16</v>
      </c>
      <c r="H6" t="s">
        <v>32</v>
      </c>
      <c r="I6">
        <v>34.04</v>
      </c>
      <c r="J6" t="s">
        <v>33</v>
      </c>
      <c r="K6" t="s">
        <v>34</v>
      </c>
      <c r="L6" t="s">
        <v>35</v>
      </c>
    </row>
    <row r="7" spans="1:12" x14ac:dyDescent="0.5">
      <c r="A7" t="s">
        <v>36</v>
      </c>
      <c r="B7" t="s">
        <v>2817</v>
      </c>
      <c r="C7" t="s">
        <v>37</v>
      </c>
      <c r="D7" s="1">
        <v>1.1900000000000001E-2</v>
      </c>
      <c r="E7">
        <v>82.4</v>
      </c>
      <c r="F7" t="s">
        <v>14</v>
      </c>
      <c r="G7" t="s">
        <v>15</v>
      </c>
      <c r="H7" t="s">
        <v>16</v>
      </c>
      <c r="I7">
        <v>97.68</v>
      </c>
      <c r="J7" t="s">
        <v>17</v>
      </c>
      <c r="K7" t="s">
        <v>18</v>
      </c>
      <c r="L7" t="s">
        <v>38</v>
      </c>
    </row>
    <row r="8" spans="1:12" x14ac:dyDescent="0.5">
      <c r="A8" t="s">
        <v>39</v>
      </c>
      <c r="B8" t="s">
        <v>2817</v>
      </c>
      <c r="C8" t="s">
        <v>40</v>
      </c>
      <c r="D8" s="1">
        <v>1E-3</v>
      </c>
      <c r="E8">
        <v>89.3</v>
      </c>
      <c r="F8" t="s">
        <v>14</v>
      </c>
      <c r="G8" t="s">
        <v>15</v>
      </c>
      <c r="H8" t="s">
        <v>16</v>
      </c>
      <c r="I8">
        <v>73.11</v>
      </c>
      <c r="J8" t="s">
        <v>17</v>
      </c>
      <c r="K8" t="s">
        <v>18</v>
      </c>
      <c r="L8" t="s">
        <v>41</v>
      </c>
    </row>
    <row r="9" spans="1:12" x14ac:dyDescent="0.5">
      <c r="A9" t="s">
        <v>42</v>
      </c>
      <c r="B9" t="s">
        <v>2817</v>
      </c>
      <c r="C9" t="s">
        <v>43</v>
      </c>
      <c r="D9" s="1">
        <v>6.1999999999999998E-3</v>
      </c>
      <c r="E9">
        <v>86</v>
      </c>
      <c r="F9" t="s">
        <v>14</v>
      </c>
      <c r="G9" t="s">
        <v>15</v>
      </c>
      <c r="H9" t="s">
        <v>16</v>
      </c>
      <c r="I9">
        <v>55.12</v>
      </c>
      <c r="J9" t="s">
        <v>17</v>
      </c>
      <c r="K9" t="s">
        <v>18</v>
      </c>
      <c r="L9" t="s">
        <v>44</v>
      </c>
    </row>
    <row r="10" spans="1:12" x14ac:dyDescent="0.5">
      <c r="A10" t="s">
        <v>45</v>
      </c>
      <c r="B10" t="s">
        <v>2817</v>
      </c>
      <c r="C10" t="s">
        <v>46</v>
      </c>
      <c r="D10" t="s">
        <v>28</v>
      </c>
      <c r="E10">
        <v>75.7</v>
      </c>
      <c r="F10" t="s">
        <v>14</v>
      </c>
      <c r="G10" t="s">
        <v>16</v>
      </c>
      <c r="H10" t="s">
        <v>16</v>
      </c>
      <c r="I10">
        <v>77.12</v>
      </c>
      <c r="J10" t="s">
        <v>17</v>
      </c>
      <c r="K10" t="s">
        <v>18</v>
      </c>
      <c r="L10" t="s">
        <v>47</v>
      </c>
    </row>
    <row r="11" spans="1:12" x14ac:dyDescent="0.5">
      <c r="A11" t="s">
        <v>48</v>
      </c>
      <c r="B11" t="s">
        <v>2817</v>
      </c>
      <c r="C11" t="s">
        <v>49</v>
      </c>
      <c r="D11" t="s">
        <v>28</v>
      </c>
      <c r="E11">
        <v>78.8</v>
      </c>
      <c r="F11" t="s">
        <v>14</v>
      </c>
      <c r="G11" t="s">
        <v>15</v>
      </c>
      <c r="H11" t="s">
        <v>32</v>
      </c>
      <c r="I11">
        <v>31.95</v>
      </c>
      <c r="J11" t="s">
        <v>33</v>
      </c>
      <c r="K11" t="s">
        <v>34</v>
      </c>
      <c r="L11" t="s">
        <v>50</v>
      </c>
    </row>
    <row r="12" spans="1:12" x14ac:dyDescent="0.5">
      <c r="A12" t="s">
        <v>51</v>
      </c>
      <c r="B12" t="s">
        <v>2817</v>
      </c>
      <c r="C12" t="s">
        <v>52</v>
      </c>
      <c r="D12" t="s">
        <v>28</v>
      </c>
      <c r="E12">
        <v>100</v>
      </c>
      <c r="F12" t="s">
        <v>14</v>
      </c>
      <c r="G12" t="s">
        <v>15</v>
      </c>
      <c r="H12" t="s">
        <v>16</v>
      </c>
      <c r="I12">
        <v>94.25</v>
      </c>
      <c r="J12" t="s">
        <v>53</v>
      </c>
      <c r="K12" t="s">
        <v>18</v>
      </c>
    </row>
    <row r="13" spans="1:12" x14ac:dyDescent="0.5">
      <c r="A13" t="s">
        <v>54</v>
      </c>
      <c r="B13" t="s">
        <v>2817</v>
      </c>
      <c r="C13" t="s">
        <v>55</v>
      </c>
      <c r="D13" s="1">
        <v>0.02</v>
      </c>
      <c r="E13">
        <v>72.5</v>
      </c>
      <c r="F13" t="s">
        <v>14</v>
      </c>
      <c r="G13" t="s">
        <v>15</v>
      </c>
      <c r="H13" t="s">
        <v>16</v>
      </c>
      <c r="I13">
        <v>100</v>
      </c>
      <c r="J13" t="s">
        <v>53</v>
      </c>
      <c r="K13" t="s">
        <v>18</v>
      </c>
    </row>
    <row r="14" spans="1:12" x14ac:dyDescent="0.5">
      <c r="A14" t="s">
        <v>56</v>
      </c>
      <c r="B14" t="s">
        <v>2817</v>
      </c>
      <c r="C14" t="s">
        <v>57</v>
      </c>
      <c r="D14" t="s">
        <v>28</v>
      </c>
      <c r="E14">
        <v>74.7</v>
      </c>
      <c r="F14" t="s">
        <v>14</v>
      </c>
      <c r="G14" t="s">
        <v>16</v>
      </c>
      <c r="H14" t="s">
        <v>16</v>
      </c>
      <c r="I14">
        <v>63.35</v>
      </c>
      <c r="J14" t="s">
        <v>17</v>
      </c>
      <c r="K14" t="s">
        <v>18</v>
      </c>
      <c r="L14" t="s">
        <v>58</v>
      </c>
    </row>
    <row r="15" spans="1:12" x14ac:dyDescent="0.5">
      <c r="A15" t="s">
        <v>59</v>
      </c>
      <c r="B15" t="s">
        <v>2817</v>
      </c>
      <c r="C15" t="s">
        <v>60</v>
      </c>
      <c r="D15" s="1">
        <v>2.4E-2</v>
      </c>
      <c r="E15">
        <v>66.599999999999994</v>
      </c>
      <c r="F15" t="s">
        <v>14</v>
      </c>
      <c r="G15" t="s">
        <v>15</v>
      </c>
      <c r="H15" t="s">
        <v>16</v>
      </c>
      <c r="I15">
        <v>100</v>
      </c>
      <c r="J15" t="s">
        <v>53</v>
      </c>
      <c r="K15" t="s">
        <v>18</v>
      </c>
    </row>
    <row r="16" spans="1:12" x14ac:dyDescent="0.5">
      <c r="A16" t="s">
        <v>61</v>
      </c>
      <c r="B16" t="s">
        <v>2817</v>
      </c>
      <c r="C16" t="s">
        <v>62</v>
      </c>
      <c r="D16" s="1">
        <v>2.5700000000000001E-2</v>
      </c>
      <c r="E16">
        <v>64</v>
      </c>
      <c r="F16" t="s">
        <v>14</v>
      </c>
      <c r="G16" t="s">
        <v>15</v>
      </c>
      <c r="H16" t="s">
        <v>16</v>
      </c>
      <c r="I16">
        <v>97.65</v>
      </c>
      <c r="J16" t="s">
        <v>53</v>
      </c>
      <c r="K16" t="s">
        <v>18</v>
      </c>
    </row>
    <row r="17" spans="1:11" x14ac:dyDescent="0.5">
      <c r="A17" t="s">
        <v>63</v>
      </c>
      <c r="B17" t="s">
        <v>2817</v>
      </c>
      <c r="C17" t="s">
        <v>64</v>
      </c>
      <c r="D17" s="1">
        <v>3.78E-2</v>
      </c>
      <c r="E17">
        <v>60.1</v>
      </c>
      <c r="F17" t="s">
        <v>14</v>
      </c>
      <c r="G17" t="s">
        <v>15</v>
      </c>
      <c r="H17" t="s">
        <v>16</v>
      </c>
      <c r="I17">
        <v>100</v>
      </c>
      <c r="J17" t="s">
        <v>53</v>
      </c>
      <c r="K17" t="s">
        <v>18</v>
      </c>
    </row>
    <row r="18" spans="1:11" x14ac:dyDescent="0.5">
      <c r="A18" t="s">
        <v>65</v>
      </c>
      <c r="B18" t="s">
        <v>2817</v>
      </c>
      <c r="C18" t="s">
        <v>66</v>
      </c>
      <c r="D18" t="s">
        <v>28</v>
      </c>
      <c r="E18">
        <v>82.8</v>
      </c>
      <c r="F18" t="s">
        <v>14</v>
      </c>
      <c r="G18" t="s">
        <v>15</v>
      </c>
      <c r="H18" t="s">
        <v>16</v>
      </c>
      <c r="I18">
        <v>100</v>
      </c>
      <c r="J18" t="s">
        <v>53</v>
      </c>
      <c r="K18" t="s">
        <v>18</v>
      </c>
    </row>
    <row r="19" spans="1:11" x14ac:dyDescent="0.5">
      <c r="A19" t="s">
        <v>67</v>
      </c>
      <c r="B19" t="s">
        <v>2817</v>
      </c>
      <c r="C19" t="s">
        <v>68</v>
      </c>
      <c r="D19" s="1">
        <v>2.7300000000000001E-2</v>
      </c>
      <c r="E19">
        <v>57.9</v>
      </c>
      <c r="F19" t="s">
        <v>14</v>
      </c>
      <c r="G19" t="s">
        <v>15</v>
      </c>
      <c r="H19" t="s">
        <v>16</v>
      </c>
      <c r="I19">
        <v>100</v>
      </c>
      <c r="J19" t="s">
        <v>53</v>
      </c>
      <c r="K19" t="s">
        <v>18</v>
      </c>
    </row>
    <row r="20" spans="1:11" x14ac:dyDescent="0.5">
      <c r="A20" t="s">
        <v>69</v>
      </c>
      <c r="B20" t="s">
        <v>2817</v>
      </c>
      <c r="C20" t="s">
        <v>70</v>
      </c>
      <c r="D20" s="1">
        <v>3.0000000000000001E-3</v>
      </c>
      <c r="E20">
        <v>79.7</v>
      </c>
      <c r="F20" t="s">
        <v>14</v>
      </c>
      <c r="G20" t="s">
        <v>15</v>
      </c>
      <c r="H20" t="s">
        <v>16</v>
      </c>
      <c r="I20">
        <v>100</v>
      </c>
      <c r="J20" t="s">
        <v>53</v>
      </c>
      <c r="K20" t="s">
        <v>18</v>
      </c>
    </row>
    <row r="21" spans="1:11" x14ac:dyDescent="0.5">
      <c r="A21" t="s">
        <v>71</v>
      </c>
      <c r="B21" t="s">
        <v>2817</v>
      </c>
      <c r="C21" t="s">
        <v>72</v>
      </c>
      <c r="D21" s="1">
        <v>8.0000000000000002E-3</v>
      </c>
      <c r="E21">
        <v>79.599999999999994</v>
      </c>
      <c r="F21" t="s">
        <v>14</v>
      </c>
      <c r="G21" t="s">
        <v>15</v>
      </c>
      <c r="H21" t="s">
        <v>16</v>
      </c>
      <c r="I21">
        <v>99.9</v>
      </c>
      <c r="J21" t="s">
        <v>53</v>
      </c>
      <c r="K21" t="s">
        <v>18</v>
      </c>
    </row>
    <row r="22" spans="1:11" x14ac:dyDescent="0.5">
      <c r="A22" t="s">
        <v>73</v>
      </c>
      <c r="B22" t="s">
        <v>2817</v>
      </c>
      <c r="C22" t="s">
        <v>74</v>
      </c>
      <c r="D22" s="1">
        <v>4.3E-3</v>
      </c>
      <c r="E22">
        <v>79</v>
      </c>
      <c r="F22" t="s">
        <v>14</v>
      </c>
      <c r="G22" t="s">
        <v>15</v>
      </c>
      <c r="H22" t="s">
        <v>16</v>
      </c>
      <c r="I22">
        <v>100</v>
      </c>
      <c r="J22" t="s">
        <v>53</v>
      </c>
      <c r="K22" t="s">
        <v>18</v>
      </c>
    </row>
    <row r="23" spans="1:11" x14ac:dyDescent="0.5">
      <c r="A23" t="s">
        <v>75</v>
      </c>
      <c r="B23" t="s">
        <v>2817</v>
      </c>
      <c r="C23" t="s">
        <v>76</v>
      </c>
      <c r="D23" s="1">
        <v>3.9199999999999999E-2</v>
      </c>
      <c r="E23">
        <v>55.3</v>
      </c>
      <c r="F23" t="s">
        <v>14</v>
      </c>
      <c r="G23" t="s">
        <v>15</v>
      </c>
      <c r="H23" t="s">
        <v>16</v>
      </c>
      <c r="I23">
        <v>100</v>
      </c>
      <c r="J23" t="s">
        <v>53</v>
      </c>
      <c r="K23" t="s">
        <v>18</v>
      </c>
    </row>
    <row r="24" spans="1:11" x14ac:dyDescent="0.5">
      <c r="A24" t="s">
        <v>77</v>
      </c>
      <c r="B24" t="s">
        <v>2817</v>
      </c>
      <c r="C24" t="s">
        <v>78</v>
      </c>
      <c r="D24" s="1">
        <v>2E-3</v>
      </c>
      <c r="E24">
        <v>78</v>
      </c>
      <c r="F24" t="s">
        <v>14</v>
      </c>
      <c r="G24" t="s">
        <v>15</v>
      </c>
      <c r="H24" t="s">
        <v>16</v>
      </c>
      <c r="I24">
        <v>100</v>
      </c>
      <c r="J24" t="s">
        <v>53</v>
      </c>
      <c r="K24" t="s">
        <v>18</v>
      </c>
    </row>
    <row r="25" spans="1:11" x14ac:dyDescent="0.5">
      <c r="A25" t="s">
        <v>79</v>
      </c>
      <c r="B25" t="s">
        <v>2817</v>
      </c>
      <c r="C25" t="s">
        <v>80</v>
      </c>
      <c r="D25" s="1">
        <v>2.8299999999999999E-2</v>
      </c>
      <c r="E25">
        <v>55</v>
      </c>
      <c r="F25" t="s">
        <v>14</v>
      </c>
      <c r="G25" t="s">
        <v>15</v>
      </c>
      <c r="H25" t="s">
        <v>16</v>
      </c>
      <c r="I25">
        <v>100</v>
      </c>
      <c r="J25" t="s">
        <v>53</v>
      </c>
      <c r="K25" t="s">
        <v>18</v>
      </c>
    </row>
    <row r="26" spans="1:11" x14ac:dyDescent="0.5">
      <c r="A26" t="s">
        <v>81</v>
      </c>
      <c r="B26" t="s">
        <v>2817</v>
      </c>
      <c r="C26" t="s">
        <v>82</v>
      </c>
      <c r="D26" s="1">
        <v>2.5499999999999998E-2</v>
      </c>
      <c r="E26">
        <v>54.9</v>
      </c>
      <c r="F26" t="s">
        <v>14</v>
      </c>
      <c r="G26" t="s">
        <v>15</v>
      </c>
      <c r="H26" t="s">
        <v>16</v>
      </c>
      <c r="I26">
        <v>100</v>
      </c>
      <c r="J26" t="s">
        <v>53</v>
      </c>
      <c r="K26" t="s">
        <v>18</v>
      </c>
    </row>
    <row r="27" spans="1:11" x14ac:dyDescent="0.5">
      <c r="A27" t="s">
        <v>83</v>
      </c>
      <c r="B27" t="s">
        <v>2817</v>
      </c>
      <c r="C27" t="s">
        <v>84</v>
      </c>
      <c r="D27" s="1">
        <v>2.6499999999999999E-2</v>
      </c>
      <c r="E27">
        <v>54.7</v>
      </c>
      <c r="F27" t="s">
        <v>14</v>
      </c>
      <c r="G27" t="s">
        <v>15</v>
      </c>
      <c r="H27" t="s">
        <v>16</v>
      </c>
      <c r="I27">
        <v>100</v>
      </c>
      <c r="J27" t="s">
        <v>53</v>
      </c>
      <c r="K27" t="s">
        <v>18</v>
      </c>
    </row>
    <row r="28" spans="1:11" x14ac:dyDescent="0.5">
      <c r="A28" t="s">
        <v>85</v>
      </c>
      <c r="B28" t="s">
        <v>2817</v>
      </c>
      <c r="C28" t="s">
        <v>86</v>
      </c>
      <c r="D28" s="1">
        <v>2.6800000000000001E-2</v>
      </c>
      <c r="E28">
        <v>54.5</v>
      </c>
      <c r="F28" t="s">
        <v>14</v>
      </c>
      <c r="G28" t="s">
        <v>15</v>
      </c>
      <c r="H28" t="s">
        <v>16</v>
      </c>
      <c r="I28">
        <v>100</v>
      </c>
      <c r="J28" t="s">
        <v>53</v>
      </c>
      <c r="K28" t="s">
        <v>18</v>
      </c>
    </row>
    <row r="29" spans="1:11" x14ac:dyDescent="0.5">
      <c r="A29" t="s">
        <v>87</v>
      </c>
      <c r="B29" t="s">
        <v>2817</v>
      </c>
      <c r="C29" t="s">
        <v>88</v>
      </c>
      <c r="D29" s="1">
        <v>2.2200000000000001E-2</v>
      </c>
      <c r="E29">
        <v>54.3</v>
      </c>
      <c r="F29" t="s">
        <v>14</v>
      </c>
      <c r="G29" t="s">
        <v>15</v>
      </c>
      <c r="H29" t="s">
        <v>16</v>
      </c>
      <c r="I29">
        <v>100</v>
      </c>
      <c r="J29" t="s">
        <v>53</v>
      </c>
      <c r="K29" t="s">
        <v>18</v>
      </c>
    </row>
    <row r="30" spans="1:11" x14ac:dyDescent="0.5">
      <c r="A30" t="s">
        <v>89</v>
      </c>
      <c r="B30" t="s">
        <v>2817</v>
      </c>
      <c r="C30" t="s">
        <v>90</v>
      </c>
      <c r="D30" s="1">
        <v>1.26E-2</v>
      </c>
      <c r="E30">
        <v>75.7</v>
      </c>
      <c r="F30" t="s">
        <v>14</v>
      </c>
      <c r="G30" t="s">
        <v>15</v>
      </c>
      <c r="H30" t="s">
        <v>16</v>
      </c>
      <c r="I30">
        <v>100</v>
      </c>
      <c r="J30" t="s">
        <v>53</v>
      </c>
      <c r="K30" t="s">
        <v>18</v>
      </c>
    </row>
    <row r="31" spans="1:11" x14ac:dyDescent="0.5">
      <c r="A31" t="s">
        <v>91</v>
      </c>
      <c r="B31" t="s">
        <v>2817</v>
      </c>
      <c r="C31" t="s">
        <v>92</v>
      </c>
      <c r="D31" s="1">
        <v>3.2000000000000001E-2</v>
      </c>
      <c r="E31">
        <v>52.4</v>
      </c>
      <c r="F31" t="s">
        <v>14</v>
      </c>
      <c r="G31" t="s">
        <v>15</v>
      </c>
      <c r="H31" t="s">
        <v>16</v>
      </c>
      <c r="I31">
        <v>100</v>
      </c>
      <c r="J31" t="s">
        <v>53</v>
      </c>
      <c r="K31" t="s">
        <v>18</v>
      </c>
    </row>
    <row r="32" spans="1:11" x14ac:dyDescent="0.5">
      <c r="A32" t="s">
        <v>93</v>
      </c>
      <c r="B32" t="s">
        <v>2817</v>
      </c>
      <c r="C32" t="s">
        <v>94</v>
      </c>
      <c r="D32" s="1">
        <v>2.07E-2</v>
      </c>
      <c r="E32">
        <v>52.3</v>
      </c>
      <c r="F32" t="s">
        <v>14</v>
      </c>
      <c r="G32" t="s">
        <v>15</v>
      </c>
      <c r="H32" t="s">
        <v>16</v>
      </c>
      <c r="I32">
        <v>100</v>
      </c>
      <c r="J32" t="s">
        <v>53</v>
      </c>
      <c r="K32" t="s">
        <v>18</v>
      </c>
    </row>
    <row r="33" spans="1:11" x14ac:dyDescent="0.5">
      <c r="A33" t="s">
        <v>95</v>
      </c>
      <c r="B33" t="s">
        <v>2817</v>
      </c>
      <c r="C33" t="s">
        <v>96</v>
      </c>
      <c r="D33" s="1">
        <v>1.5299999999999999E-2</v>
      </c>
      <c r="E33">
        <v>75.099999999999994</v>
      </c>
      <c r="F33" t="s">
        <v>14</v>
      </c>
      <c r="G33" t="s">
        <v>15</v>
      </c>
      <c r="H33" t="s">
        <v>16</v>
      </c>
      <c r="I33">
        <v>100</v>
      </c>
      <c r="J33" t="s">
        <v>53</v>
      </c>
      <c r="K33" t="s">
        <v>18</v>
      </c>
    </row>
    <row r="34" spans="1:11" x14ac:dyDescent="0.5">
      <c r="A34" t="s">
        <v>97</v>
      </c>
      <c r="B34" t="s">
        <v>2817</v>
      </c>
      <c r="C34" t="s">
        <v>98</v>
      </c>
      <c r="D34" s="1">
        <v>2.76E-2</v>
      </c>
      <c r="E34">
        <v>52.2</v>
      </c>
      <c r="F34" t="s">
        <v>14</v>
      </c>
      <c r="G34" t="s">
        <v>15</v>
      </c>
      <c r="H34" t="s">
        <v>16</v>
      </c>
      <c r="I34">
        <v>100</v>
      </c>
      <c r="J34" t="s">
        <v>53</v>
      </c>
      <c r="K34" t="s">
        <v>18</v>
      </c>
    </row>
    <row r="35" spans="1:11" x14ac:dyDescent="0.5">
      <c r="A35" t="s">
        <v>99</v>
      </c>
      <c r="B35" t="s">
        <v>2817</v>
      </c>
      <c r="C35" t="s">
        <v>100</v>
      </c>
      <c r="D35" t="s">
        <v>28</v>
      </c>
      <c r="E35">
        <v>86.5</v>
      </c>
      <c r="F35" t="s">
        <v>14</v>
      </c>
      <c r="G35" t="s">
        <v>15</v>
      </c>
      <c r="H35" t="s">
        <v>16</v>
      </c>
      <c r="I35">
        <v>83.91</v>
      </c>
      <c r="J35" t="s">
        <v>53</v>
      </c>
      <c r="K35" t="s">
        <v>18</v>
      </c>
    </row>
    <row r="36" spans="1:11" x14ac:dyDescent="0.5">
      <c r="A36" t="s">
        <v>101</v>
      </c>
      <c r="B36" t="s">
        <v>2817</v>
      </c>
      <c r="C36" t="s">
        <v>102</v>
      </c>
      <c r="D36" s="1">
        <v>2.6100000000000002E-2</v>
      </c>
      <c r="E36">
        <v>51.6</v>
      </c>
      <c r="F36" t="s">
        <v>14</v>
      </c>
      <c r="G36" t="s">
        <v>15</v>
      </c>
      <c r="H36" t="s">
        <v>16</v>
      </c>
      <c r="I36">
        <v>100</v>
      </c>
      <c r="J36" t="s">
        <v>53</v>
      </c>
      <c r="K36" t="s">
        <v>18</v>
      </c>
    </row>
    <row r="37" spans="1:11" x14ac:dyDescent="0.5">
      <c r="A37" t="s">
        <v>103</v>
      </c>
      <c r="B37" t="s">
        <v>2817</v>
      </c>
      <c r="C37" t="s">
        <v>104</v>
      </c>
      <c r="D37" s="1">
        <v>1.9599999999999999E-2</v>
      </c>
      <c r="E37">
        <v>74.3</v>
      </c>
      <c r="F37" t="s">
        <v>14</v>
      </c>
      <c r="G37" t="s">
        <v>15</v>
      </c>
      <c r="H37" t="s">
        <v>16</v>
      </c>
      <c r="I37">
        <v>100</v>
      </c>
      <c r="J37" t="s">
        <v>53</v>
      </c>
      <c r="K37" t="s">
        <v>18</v>
      </c>
    </row>
    <row r="38" spans="1:11" x14ac:dyDescent="0.5">
      <c r="A38" t="s">
        <v>105</v>
      </c>
      <c r="B38" t="s">
        <v>2817</v>
      </c>
      <c r="C38" t="s">
        <v>106</v>
      </c>
      <c r="D38" s="1">
        <v>2.4400000000000002E-2</v>
      </c>
      <c r="E38">
        <v>51.2</v>
      </c>
      <c r="F38" t="s">
        <v>14</v>
      </c>
      <c r="G38" t="s">
        <v>15</v>
      </c>
      <c r="H38" t="s">
        <v>16</v>
      </c>
      <c r="I38">
        <v>100</v>
      </c>
      <c r="J38" t="s">
        <v>53</v>
      </c>
      <c r="K38" t="s">
        <v>18</v>
      </c>
    </row>
    <row r="39" spans="1:11" x14ac:dyDescent="0.5">
      <c r="A39" t="s">
        <v>107</v>
      </c>
      <c r="B39" t="s">
        <v>2817</v>
      </c>
      <c r="C39" t="s">
        <v>108</v>
      </c>
      <c r="D39" s="1">
        <v>3.0800000000000001E-2</v>
      </c>
      <c r="E39">
        <v>50.9</v>
      </c>
      <c r="F39" t="s">
        <v>14</v>
      </c>
      <c r="G39" t="s">
        <v>15</v>
      </c>
      <c r="H39" t="s">
        <v>16</v>
      </c>
      <c r="I39">
        <v>100</v>
      </c>
      <c r="J39" t="s">
        <v>53</v>
      </c>
      <c r="K39" t="s">
        <v>18</v>
      </c>
    </row>
    <row r="40" spans="1:11" x14ac:dyDescent="0.5">
      <c r="A40" t="s">
        <v>109</v>
      </c>
      <c r="B40" t="s">
        <v>2817</v>
      </c>
      <c r="C40" t="s">
        <v>110</v>
      </c>
      <c r="D40" t="s">
        <v>28</v>
      </c>
      <c r="E40">
        <v>73.400000000000006</v>
      </c>
      <c r="F40" t="s">
        <v>14</v>
      </c>
      <c r="G40" t="s">
        <v>15</v>
      </c>
      <c r="H40" t="s">
        <v>16</v>
      </c>
      <c r="I40">
        <v>100</v>
      </c>
      <c r="J40" t="s">
        <v>53</v>
      </c>
      <c r="K40" t="s">
        <v>18</v>
      </c>
    </row>
    <row r="41" spans="1:11" x14ac:dyDescent="0.5">
      <c r="A41" t="s">
        <v>111</v>
      </c>
      <c r="B41" t="s">
        <v>2817</v>
      </c>
      <c r="C41" t="s">
        <v>112</v>
      </c>
      <c r="D41" s="1">
        <v>6.1999999999999998E-3</v>
      </c>
      <c r="E41">
        <v>83.6</v>
      </c>
      <c r="F41" t="s">
        <v>14</v>
      </c>
      <c r="G41" t="s">
        <v>15</v>
      </c>
      <c r="H41" t="s">
        <v>16</v>
      </c>
      <c r="I41">
        <v>85.3</v>
      </c>
      <c r="J41" t="s">
        <v>53</v>
      </c>
      <c r="K41" t="s">
        <v>18</v>
      </c>
    </row>
    <row r="42" spans="1:11" x14ac:dyDescent="0.5">
      <c r="A42" t="s">
        <v>113</v>
      </c>
      <c r="B42" t="s">
        <v>2817</v>
      </c>
      <c r="C42" t="s">
        <v>114</v>
      </c>
      <c r="D42" s="1">
        <v>2.0899999999999998E-2</v>
      </c>
      <c r="E42">
        <v>50.2</v>
      </c>
      <c r="F42" t="s">
        <v>14</v>
      </c>
      <c r="G42" t="s">
        <v>15</v>
      </c>
      <c r="H42" t="s">
        <v>16</v>
      </c>
      <c r="I42">
        <v>100</v>
      </c>
      <c r="J42" t="s">
        <v>53</v>
      </c>
      <c r="K42" t="s">
        <v>18</v>
      </c>
    </row>
    <row r="43" spans="1:11" x14ac:dyDescent="0.5">
      <c r="A43" t="s">
        <v>115</v>
      </c>
      <c r="B43" t="s">
        <v>2817</v>
      </c>
      <c r="C43" t="s">
        <v>116</v>
      </c>
      <c r="D43" s="1">
        <v>2.1700000000000001E-2</v>
      </c>
      <c r="E43">
        <v>49.9</v>
      </c>
      <c r="F43" t="s">
        <v>14</v>
      </c>
      <c r="G43" t="s">
        <v>15</v>
      </c>
      <c r="H43" t="s">
        <v>16</v>
      </c>
      <c r="I43">
        <v>100</v>
      </c>
      <c r="J43" t="s">
        <v>53</v>
      </c>
      <c r="K43" t="s">
        <v>18</v>
      </c>
    </row>
    <row r="44" spans="1:11" x14ac:dyDescent="0.5">
      <c r="A44" t="s">
        <v>117</v>
      </c>
      <c r="B44" t="s">
        <v>2817</v>
      </c>
      <c r="C44" t="s">
        <v>118</v>
      </c>
      <c r="D44" s="1">
        <v>3.3000000000000002E-2</v>
      </c>
      <c r="E44">
        <v>48.3</v>
      </c>
      <c r="F44" t="s">
        <v>14</v>
      </c>
      <c r="G44" t="s">
        <v>15</v>
      </c>
      <c r="H44" t="s">
        <v>16</v>
      </c>
      <c r="I44">
        <v>100</v>
      </c>
      <c r="J44" t="s">
        <v>53</v>
      </c>
      <c r="K44" t="s">
        <v>18</v>
      </c>
    </row>
    <row r="45" spans="1:11" x14ac:dyDescent="0.5">
      <c r="A45" t="s">
        <v>119</v>
      </c>
      <c r="B45" t="s">
        <v>2817</v>
      </c>
      <c r="C45" t="s">
        <v>120</v>
      </c>
      <c r="D45" s="1">
        <v>2.1100000000000001E-2</v>
      </c>
      <c r="E45">
        <v>48.3</v>
      </c>
      <c r="F45" t="s">
        <v>14</v>
      </c>
      <c r="G45" t="s">
        <v>15</v>
      </c>
      <c r="H45" t="s">
        <v>16</v>
      </c>
      <c r="I45">
        <v>100</v>
      </c>
      <c r="J45" t="s">
        <v>53</v>
      </c>
      <c r="K45" t="s">
        <v>18</v>
      </c>
    </row>
    <row r="46" spans="1:11" x14ac:dyDescent="0.5">
      <c r="A46" t="s">
        <v>121</v>
      </c>
      <c r="B46" t="s">
        <v>2817</v>
      </c>
      <c r="C46" t="s">
        <v>122</v>
      </c>
      <c r="D46" s="1">
        <v>9.7999999999999997E-3</v>
      </c>
      <c r="E46">
        <v>70.5</v>
      </c>
      <c r="F46" t="s">
        <v>14</v>
      </c>
      <c r="G46" t="s">
        <v>15</v>
      </c>
      <c r="H46" t="s">
        <v>16</v>
      </c>
      <c r="I46">
        <v>100</v>
      </c>
      <c r="J46" t="s">
        <v>53</v>
      </c>
      <c r="K46" t="s">
        <v>18</v>
      </c>
    </row>
    <row r="47" spans="1:11" x14ac:dyDescent="0.5">
      <c r="A47" t="s">
        <v>123</v>
      </c>
      <c r="B47" t="s">
        <v>2817</v>
      </c>
      <c r="C47" t="s">
        <v>124</v>
      </c>
      <c r="D47" s="1">
        <v>2.6200000000000001E-2</v>
      </c>
      <c r="E47">
        <v>47.2</v>
      </c>
      <c r="F47" t="s">
        <v>14</v>
      </c>
      <c r="G47" t="s">
        <v>15</v>
      </c>
      <c r="H47" t="s">
        <v>16</v>
      </c>
      <c r="I47">
        <v>100</v>
      </c>
      <c r="J47" t="s">
        <v>53</v>
      </c>
      <c r="K47" t="s">
        <v>18</v>
      </c>
    </row>
    <row r="48" spans="1:11" x14ac:dyDescent="0.5">
      <c r="A48" t="s">
        <v>125</v>
      </c>
      <c r="B48" t="s">
        <v>2817</v>
      </c>
      <c r="C48" t="s">
        <v>126</v>
      </c>
      <c r="D48" s="1">
        <v>5.0000000000000001E-3</v>
      </c>
      <c r="E48">
        <v>75.7</v>
      </c>
      <c r="F48" t="s">
        <v>14</v>
      </c>
      <c r="G48" t="s">
        <v>15</v>
      </c>
      <c r="H48" t="s">
        <v>16</v>
      </c>
      <c r="I48">
        <v>91.65</v>
      </c>
      <c r="J48" t="s">
        <v>53</v>
      </c>
      <c r="K48" t="s">
        <v>18</v>
      </c>
    </row>
    <row r="49" spans="1:11" x14ac:dyDescent="0.5">
      <c r="A49" t="s">
        <v>127</v>
      </c>
      <c r="B49" t="s">
        <v>2817</v>
      </c>
      <c r="C49" t="s">
        <v>128</v>
      </c>
      <c r="D49" t="s">
        <v>28</v>
      </c>
      <c r="E49">
        <v>69.5</v>
      </c>
      <c r="F49" t="s">
        <v>14</v>
      </c>
      <c r="G49" t="s">
        <v>15</v>
      </c>
      <c r="H49" t="s">
        <v>16</v>
      </c>
      <c r="I49">
        <v>100</v>
      </c>
      <c r="J49" t="s">
        <v>53</v>
      </c>
      <c r="K49" t="s">
        <v>18</v>
      </c>
    </row>
    <row r="50" spans="1:11" x14ac:dyDescent="0.5">
      <c r="A50" t="s">
        <v>129</v>
      </c>
      <c r="B50" t="s">
        <v>2817</v>
      </c>
      <c r="C50" t="s">
        <v>130</v>
      </c>
      <c r="D50" s="1">
        <v>8.0999999999999996E-3</v>
      </c>
      <c r="E50">
        <v>69.5</v>
      </c>
      <c r="F50" t="s">
        <v>14</v>
      </c>
      <c r="G50" t="s">
        <v>15</v>
      </c>
      <c r="H50" t="s">
        <v>16</v>
      </c>
      <c r="I50">
        <v>100</v>
      </c>
      <c r="J50" t="s">
        <v>53</v>
      </c>
      <c r="K50" t="s">
        <v>18</v>
      </c>
    </row>
    <row r="51" spans="1:11" x14ac:dyDescent="0.5">
      <c r="A51" t="s">
        <v>131</v>
      </c>
      <c r="B51" t="s">
        <v>2817</v>
      </c>
      <c r="C51" t="s">
        <v>132</v>
      </c>
      <c r="D51" s="1">
        <v>3.8800000000000001E-2</v>
      </c>
      <c r="E51">
        <v>46.5</v>
      </c>
      <c r="F51" t="s">
        <v>14</v>
      </c>
      <c r="G51" t="s">
        <v>15</v>
      </c>
      <c r="H51" t="s">
        <v>16</v>
      </c>
      <c r="I51">
        <v>100</v>
      </c>
      <c r="J51" t="s">
        <v>53</v>
      </c>
      <c r="K51" t="s">
        <v>18</v>
      </c>
    </row>
    <row r="52" spans="1:11" x14ac:dyDescent="0.5">
      <c r="A52" t="s">
        <v>133</v>
      </c>
      <c r="B52" t="s">
        <v>2817</v>
      </c>
      <c r="C52" t="s">
        <v>134</v>
      </c>
      <c r="D52" s="1">
        <v>1.17E-2</v>
      </c>
      <c r="E52">
        <v>68.599999999999994</v>
      </c>
      <c r="F52" t="s">
        <v>14</v>
      </c>
      <c r="G52" t="s">
        <v>15</v>
      </c>
      <c r="H52" t="s">
        <v>16</v>
      </c>
      <c r="I52">
        <v>100</v>
      </c>
      <c r="J52" t="s">
        <v>53</v>
      </c>
      <c r="K52" t="s">
        <v>18</v>
      </c>
    </row>
    <row r="53" spans="1:11" x14ac:dyDescent="0.5">
      <c r="A53" t="s">
        <v>135</v>
      </c>
      <c r="B53" t="s">
        <v>2817</v>
      </c>
      <c r="C53" t="s">
        <v>136</v>
      </c>
      <c r="D53" s="1">
        <v>1.4500000000000001E-2</v>
      </c>
      <c r="E53">
        <v>68.599999999999994</v>
      </c>
      <c r="F53" t="s">
        <v>14</v>
      </c>
      <c r="G53" t="s">
        <v>15</v>
      </c>
      <c r="H53" t="s">
        <v>16</v>
      </c>
      <c r="I53">
        <v>100</v>
      </c>
      <c r="J53" t="s">
        <v>53</v>
      </c>
      <c r="K53" t="s">
        <v>18</v>
      </c>
    </row>
    <row r="54" spans="1:11" x14ac:dyDescent="0.5">
      <c r="A54" t="s">
        <v>137</v>
      </c>
      <c r="B54" t="s">
        <v>2817</v>
      </c>
      <c r="C54" t="s">
        <v>138</v>
      </c>
      <c r="D54" s="1">
        <v>4.7800000000000002E-2</v>
      </c>
      <c r="E54">
        <v>44.7</v>
      </c>
      <c r="F54" t="s">
        <v>14</v>
      </c>
      <c r="G54" t="s">
        <v>15</v>
      </c>
      <c r="H54" t="s">
        <v>16</v>
      </c>
      <c r="I54">
        <v>100</v>
      </c>
      <c r="J54" t="s">
        <v>53</v>
      </c>
      <c r="K54" t="s">
        <v>18</v>
      </c>
    </row>
    <row r="55" spans="1:11" x14ac:dyDescent="0.5">
      <c r="A55" t="s">
        <v>139</v>
      </c>
      <c r="B55" t="s">
        <v>2817</v>
      </c>
      <c r="C55" t="s">
        <v>140</v>
      </c>
      <c r="D55" s="1">
        <v>2.47E-2</v>
      </c>
      <c r="E55">
        <v>43.8</v>
      </c>
      <c r="F55" t="s">
        <v>14</v>
      </c>
      <c r="G55" t="s">
        <v>15</v>
      </c>
      <c r="H55" t="s">
        <v>16</v>
      </c>
      <c r="I55">
        <v>100</v>
      </c>
      <c r="J55" t="s">
        <v>53</v>
      </c>
      <c r="K55" t="s">
        <v>18</v>
      </c>
    </row>
    <row r="56" spans="1:11" x14ac:dyDescent="0.5">
      <c r="A56" t="s">
        <v>141</v>
      </c>
      <c r="B56" t="s">
        <v>2817</v>
      </c>
      <c r="C56" t="s">
        <v>142</v>
      </c>
      <c r="D56" s="1">
        <v>3.6999999999999998E-2</v>
      </c>
      <c r="E56">
        <v>47.7</v>
      </c>
      <c r="F56" t="s">
        <v>14</v>
      </c>
      <c r="G56" t="s">
        <v>15</v>
      </c>
      <c r="H56" t="s">
        <v>16</v>
      </c>
      <c r="I56">
        <v>93.87</v>
      </c>
      <c r="J56" t="s">
        <v>53</v>
      </c>
      <c r="K56" t="s">
        <v>18</v>
      </c>
    </row>
    <row r="57" spans="1:11" x14ac:dyDescent="0.5">
      <c r="A57" t="s">
        <v>143</v>
      </c>
      <c r="B57" t="s">
        <v>2817</v>
      </c>
      <c r="C57" t="s">
        <v>144</v>
      </c>
      <c r="D57" s="1">
        <v>2.6200000000000001E-2</v>
      </c>
      <c r="E57">
        <v>43.3</v>
      </c>
      <c r="F57" t="s">
        <v>14</v>
      </c>
      <c r="G57" t="s">
        <v>15</v>
      </c>
      <c r="H57" t="s">
        <v>16</v>
      </c>
      <c r="I57">
        <v>100</v>
      </c>
      <c r="J57" t="s">
        <v>53</v>
      </c>
      <c r="K57" t="s">
        <v>18</v>
      </c>
    </row>
    <row r="58" spans="1:11" x14ac:dyDescent="0.5">
      <c r="A58" t="s">
        <v>145</v>
      </c>
      <c r="B58" t="s">
        <v>2817</v>
      </c>
      <c r="C58" t="s">
        <v>146</v>
      </c>
      <c r="D58" s="1">
        <v>4.0099999999999997E-2</v>
      </c>
      <c r="E58">
        <v>42.3</v>
      </c>
      <c r="F58" t="s">
        <v>14</v>
      </c>
      <c r="G58" t="s">
        <v>15</v>
      </c>
      <c r="H58" t="s">
        <v>16</v>
      </c>
      <c r="I58">
        <v>100</v>
      </c>
      <c r="J58" t="s">
        <v>53</v>
      </c>
      <c r="K58" t="s">
        <v>18</v>
      </c>
    </row>
    <row r="59" spans="1:11" x14ac:dyDescent="0.5">
      <c r="A59" t="s">
        <v>147</v>
      </c>
      <c r="B59" t="s">
        <v>2817</v>
      </c>
      <c r="C59" t="s">
        <v>148</v>
      </c>
      <c r="D59" s="1">
        <v>1.4500000000000001E-2</v>
      </c>
      <c r="E59">
        <v>65.099999999999994</v>
      </c>
      <c r="F59" t="s">
        <v>14</v>
      </c>
      <c r="G59" t="s">
        <v>15</v>
      </c>
      <c r="H59" t="s">
        <v>16</v>
      </c>
      <c r="I59">
        <v>100</v>
      </c>
      <c r="J59" t="s">
        <v>53</v>
      </c>
      <c r="K59" t="s">
        <v>18</v>
      </c>
    </row>
    <row r="60" spans="1:11" x14ac:dyDescent="0.5">
      <c r="A60" t="s">
        <v>149</v>
      </c>
      <c r="B60" t="s">
        <v>2817</v>
      </c>
      <c r="C60" t="s">
        <v>150</v>
      </c>
      <c r="D60" s="1">
        <v>2.7400000000000001E-2</v>
      </c>
      <c r="E60">
        <v>41.6</v>
      </c>
      <c r="F60" t="s">
        <v>14</v>
      </c>
      <c r="G60" t="s">
        <v>15</v>
      </c>
      <c r="H60" t="s">
        <v>16</v>
      </c>
      <c r="I60">
        <v>100</v>
      </c>
      <c r="J60" t="s">
        <v>53</v>
      </c>
      <c r="K60" t="s">
        <v>18</v>
      </c>
    </row>
    <row r="61" spans="1:11" x14ac:dyDescent="0.5">
      <c r="A61" t="s">
        <v>151</v>
      </c>
      <c r="B61" t="s">
        <v>2817</v>
      </c>
      <c r="C61" t="s">
        <v>152</v>
      </c>
      <c r="D61" s="1">
        <v>1.89E-2</v>
      </c>
      <c r="E61">
        <v>64.099999999999994</v>
      </c>
      <c r="F61" t="s">
        <v>14</v>
      </c>
      <c r="G61" t="s">
        <v>15</v>
      </c>
      <c r="H61" t="s">
        <v>16</v>
      </c>
      <c r="I61">
        <v>100</v>
      </c>
      <c r="J61" t="s">
        <v>53</v>
      </c>
      <c r="K61" t="s">
        <v>18</v>
      </c>
    </row>
    <row r="62" spans="1:11" x14ac:dyDescent="0.5">
      <c r="A62" t="s">
        <v>153</v>
      </c>
      <c r="B62" t="s">
        <v>2817</v>
      </c>
      <c r="C62" t="s">
        <v>154</v>
      </c>
      <c r="D62" s="1">
        <v>2.9600000000000001E-2</v>
      </c>
      <c r="E62">
        <v>40.9</v>
      </c>
      <c r="F62" t="s">
        <v>14</v>
      </c>
      <c r="G62" t="s">
        <v>15</v>
      </c>
      <c r="H62" t="s">
        <v>16</v>
      </c>
      <c r="I62">
        <v>100</v>
      </c>
      <c r="J62" t="s">
        <v>53</v>
      </c>
      <c r="K62" t="s">
        <v>18</v>
      </c>
    </row>
    <row r="63" spans="1:11" x14ac:dyDescent="0.5">
      <c r="A63" t="s">
        <v>155</v>
      </c>
      <c r="B63" t="s">
        <v>2817</v>
      </c>
      <c r="C63" t="s">
        <v>156</v>
      </c>
      <c r="D63" s="1">
        <v>1.3599999999999999E-2</v>
      </c>
      <c r="E63">
        <v>63.1</v>
      </c>
      <c r="F63" t="s">
        <v>14</v>
      </c>
      <c r="G63" t="s">
        <v>15</v>
      </c>
      <c r="H63" t="s">
        <v>16</v>
      </c>
      <c r="I63">
        <v>100</v>
      </c>
      <c r="J63" t="s">
        <v>53</v>
      </c>
      <c r="K63" t="s">
        <v>18</v>
      </c>
    </row>
    <row r="64" spans="1:11" x14ac:dyDescent="0.5">
      <c r="A64" t="s">
        <v>157</v>
      </c>
      <c r="B64" t="s">
        <v>2817</v>
      </c>
      <c r="C64" t="s">
        <v>158</v>
      </c>
      <c r="D64" s="1">
        <v>4.0899999999999999E-2</v>
      </c>
      <c r="E64">
        <v>39.700000000000003</v>
      </c>
      <c r="F64" t="s">
        <v>14</v>
      </c>
      <c r="G64" t="s">
        <v>15</v>
      </c>
      <c r="H64" t="s">
        <v>16</v>
      </c>
      <c r="I64">
        <v>100</v>
      </c>
      <c r="J64" t="s">
        <v>53</v>
      </c>
      <c r="K64" t="s">
        <v>18</v>
      </c>
    </row>
    <row r="65" spans="1:12" x14ac:dyDescent="0.5">
      <c r="A65" t="s">
        <v>159</v>
      </c>
      <c r="B65" t="s">
        <v>2817</v>
      </c>
      <c r="C65" t="s">
        <v>160</v>
      </c>
      <c r="D65" s="1">
        <v>3.8600000000000002E-2</v>
      </c>
      <c r="E65">
        <v>39.700000000000003</v>
      </c>
      <c r="F65" t="s">
        <v>14</v>
      </c>
      <c r="G65" t="s">
        <v>15</v>
      </c>
      <c r="H65" t="s">
        <v>16</v>
      </c>
      <c r="I65">
        <v>100</v>
      </c>
      <c r="J65" t="s">
        <v>53</v>
      </c>
      <c r="K65" t="s">
        <v>18</v>
      </c>
    </row>
    <row r="66" spans="1:12" x14ac:dyDescent="0.5">
      <c r="A66" t="s">
        <v>161</v>
      </c>
      <c r="B66" t="s">
        <v>2817</v>
      </c>
      <c r="C66" t="s">
        <v>162</v>
      </c>
      <c r="D66" s="1">
        <v>6.2100000000000002E-2</v>
      </c>
      <c r="E66">
        <v>39.6</v>
      </c>
      <c r="F66" t="s">
        <v>14</v>
      </c>
      <c r="G66" t="s">
        <v>15</v>
      </c>
      <c r="H66" t="s">
        <v>16</v>
      </c>
      <c r="I66">
        <v>100</v>
      </c>
      <c r="J66" t="s">
        <v>53</v>
      </c>
      <c r="K66" t="s">
        <v>18</v>
      </c>
    </row>
    <row r="67" spans="1:12" x14ac:dyDescent="0.5">
      <c r="A67" t="s">
        <v>163</v>
      </c>
      <c r="B67" t="s">
        <v>2817</v>
      </c>
      <c r="C67" t="s">
        <v>164</v>
      </c>
      <c r="D67" s="1">
        <v>2.9700000000000001E-2</v>
      </c>
      <c r="E67">
        <v>39.6</v>
      </c>
      <c r="F67" t="s">
        <v>14</v>
      </c>
      <c r="G67" t="s">
        <v>15</v>
      </c>
      <c r="H67" t="s">
        <v>16</v>
      </c>
      <c r="I67">
        <v>100</v>
      </c>
      <c r="J67" t="s">
        <v>53</v>
      </c>
      <c r="K67" t="s">
        <v>18</v>
      </c>
    </row>
    <row r="68" spans="1:12" x14ac:dyDescent="0.5">
      <c r="A68" t="s">
        <v>165</v>
      </c>
      <c r="B68" t="s">
        <v>2817</v>
      </c>
      <c r="C68" t="s">
        <v>166</v>
      </c>
      <c r="D68" s="1">
        <v>1.3299999999999999E-2</v>
      </c>
      <c r="E68">
        <v>61.9</v>
      </c>
      <c r="F68" t="s">
        <v>14</v>
      </c>
      <c r="G68" t="s">
        <v>15</v>
      </c>
      <c r="H68" t="s">
        <v>16</v>
      </c>
      <c r="I68">
        <v>100</v>
      </c>
      <c r="J68" t="s">
        <v>53</v>
      </c>
      <c r="K68" t="s">
        <v>18</v>
      </c>
    </row>
    <row r="69" spans="1:12" x14ac:dyDescent="0.5">
      <c r="A69" t="s">
        <v>167</v>
      </c>
      <c r="B69" t="s">
        <v>2817</v>
      </c>
      <c r="C69" t="s">
        <v>168</v>
      </c>
      <c r="D69" s="1">
        <v>2.9100000000000001E-2</v>
      </c>
      <c r="E69">
        <v>49.3</v>
      </c>
      <c r="F69" t="s">
        <v>14</v>
      </c>
      <c r="G69" t="s">
        <v>15</v>
      </c>
      <c r="H69" t="s">
        <v>16</v>
      </c>
      <c r="I69">
        <v>84.34</v>
      </c>
      <c r="J69" t="s">
        <v>53</v>
      </c>
      <c r="K69" t="s">
        <v>18</v>
      </c>
    </row>
    <row r="70" spans="1:12" x14ac:dyDescent="0.5">
      <c r="A70" t="s">
        <v>169</v>
      </c>
      <c r="B70" t="s">
        <v>2817</v>
      </c>
      <c r="C70" t="s">
        <v>170</v>
      </c>
      <c r="D70" s="1">
        <v>2.5499999999999998E-2</v>
      </c>
      <c r="E70">
        <v>37.9</v>
      </c>
      <c r="F70" t="s">
        <v>14</v>
      </c>
      <c r="G70" t="s">
        <v>15</v>
      </c>
      <c r="H70" t="s">
        <v>16</v>
      </c>
      <c r="I70">
        <v>100</v>
      </c>
      <c r="J70" t="s">
        <v>53</v>
      </c>
      <c r="K70" t="s">
        <v>18</v>
      </c>
    </row>
    <row r="71" spans="1:12" x14ac:dyDescent="0.5">
      <c r="A71" t="s">
        <v>171</v>
      </c>
      <c r="B71" t="s">
        <v>2817</v>
      </c>
      <c r="C71" t="s">
        <v>172</v>
      </c>
      <c r="D71" s="1">
        <v>1.34E-2</v>
      </c>
      <c r="E71">
        <v>60.6</v>
      </c>
      <c r="F71" t="s">
        <v>14</v>
      </c>
      <c r="G71" t="s">
        <v>15</v>
      </c>
      <c r="H71" t="s">
        <v>16</v>
      </c>
      <c r="I71">
        <v>100</v>
      </c>
      <c r="J71" t="s">
        <v>53</v>
      </c>
      <c r="K71" t="s">
        <v>18</v>
      </c>
    </row>
    <row r="72" spans="1:12" x14ac:dyDescent="0.5">
      <c r="A72" t="s">
        <v>173</v>
      </c>
      <c r="B72" t="s">
        <v>2817</v>
      </c>
      <c r="C72" t="s">
        <v>174</v>
      </c>
      <c r="D72" s="1">
        <v>4.0800000000000003E-2</v>
      </c>
      <c r="E72">
        <v>37.5</v>
      </c>
      <c r="F72" t="s">
        <v>14</v>
      </c>
      <c r="G72" t="s">
        <v>15</v>
      </c>
      <c r="H72" t="s">
        <v>16</v>
      </c>
      <c r="I72">
        <v>100</v>
      </c>
      <c r="J72" t="s">
        <v>53</v>
      </c>
      <c r="K72" t="s">
        <v>18</v>
      </c>
    </row>
    <row r="73" spans="1:12" x14ac:dyDescent="0.5">
      <c r="A73" t="s">
        <v>175</v>
      </c>
      <c r="B73" t="s">
        <v>2817</v>
      </c>
      <c r="C73" t="s">
        <v>176</v>
      </c>
      <c r="D73" s="1">
        <v>1.26E-2</v>
      </c>
      <c r="E73">
        <v>59.9</v>
      </c>
      <c r="F73" t="s">
        <v>14</v>
      </c>
      <c r="G73" t="s">
        <v>15</v>
      </c>
      <c r="H73" t="s">
        <v>16</v>
      </c>
      <c r="I73">
        <v>100</v>
      </c>
      <c r="J73" t="s">
        <v>53</v>
      </c>
      <c r="K73" t="s">
        <v>18</v>
      </c>
    </row>
    <row r="74" spans="1:12" x14ac:dyDescent="0.5">
      <c r="A74" t="s">
        <v>177</v>
      </c>
      <c r="B74" t="s">
        <v>2817</v>
      </c>
      <c r="C74" t="s">
        <v>178</v>
      </c>
      <c r="D74" t="s">
        <v>28</v>
      </c>
      <c r="E74">
        <v>59.9</v>
      </c>
      <c r="F74" t="s">
        <v>14</v>
      </c>
      <c r="G74" t="s">
        <v>15</v>
      </c>
      <c r="H74" t="s">
        <v>16</v>
      </c>
      <c r="I74">
        <v>100</v>
      </c>
      <c r="J74" t="s">
        <v>53</v>
      </c>
      <c r="K74" t="s">
        <v>18</v>
      </c>
    </row>
    <row r="75" spans="1:12" x14ac:dyDescent="0.5">
      <c r="A75" t="s">
        <v>179</v>
      </c>
      <c r="B75" t="s">
        <v>2817</v>
      </c>
      <c r="C75" t="s">
        <v>180</v>
      </c>
      <c r="D75" s="1">
        <v>3.7600000000000001E-2</v>
      </c>
      <c r="E75">
        <v>36.799999999999997</v>
      </c>
      <c r="F75" t="s">
        <v>14</v>
      </c>
      <c r="G75" t="s">
        <v>15</v>
      </c>
      <c r="H75" t="s">
        <v>16</v>
      </c>
      <c r="I75">
        <v>100</v>
      </c>
      <c r="J75" t="s">
        <v>53</v>
      </c>
      <c r="K75" t="s">
        <v>18</v>
      </c>
    </row>
    <row r="76" spans="1:12" x14ac:dyDescent="0.5">
      <c r="A76" t="s">
        <v>181</v>
      </c>
      <c r="B76" t="s">
        <v>2817</v>
      </c>
      <c r="C76" t="s">
        <v>182</v>
      </c>
      <c r="D76" s="1">
        <v>5.5899999999999998E-2</v>
      </c>
      <c r="E76">
        <v>36.1</v>
      </c>
      <c r="F76" t="s">
        <v>14</v>
      </c>
      <c r="G76" t="s">
        <v>15</v>
      </c>
      <c r="H76" t="s">
        <v>16</v>
      </c>
      <c r="I76">
        <v>100</v>
      </c>
      <c r="J76" t="s">
        <v>53</v>
      </c>
      <c r="K76" t="s">
        <v>18</v>
      </c>
    </row>
    <row r="77" spans="1:12" x14ac:dyDescent="0.5">
      <c r="A77" t="s">
        <v>183</v>
      </c>
      <c r="B77" t="s">
        <v>2817</v>
      </c>
      <c r="C77" t="s">
        <v>184</v>
      </c>
      <c r="D77" s="1">
        <v>2E-3</v>
      </c>
      <c r="E77">
        <v>65.099999999999994</v>
      </c>
      <c r="F77" t="s">
        <v>14</v>
      </c>
      <c r="G77" t="s">
        <v>15</v>
      </c>
      <c r="H77" t="s">
        <v>32</v>
      </c>
      <c r="I77">
        <v>31.61</v>
      </c>
      <c r="J77" t="s">
        <v>33</v>
      </c>
      <c r="K77" t="s">
        <v>34</v>
      </c>
      <c r="L77" t="s">
        <v>185</v>
      </c>
    </row>
    <row r="78" spans="1:12" x14ac:dyDescent="0.5">
      <c r="A78" t="s">
        <v>186</v>
      </c>
      <c r="B78" t="s">
        <v>2817</v>
      </c>
      <c r="C78" t="s">
        <v>187</v>
      </c>
      <c r="D78" s="1">
        <v>3.0200000000000001E-2</v>
      </c>
      <c r="E78">
        <v>35.6</v>
      </c>
      <c r="F78" t="s">
        <v>14</v>
      </c>
      <c r="G78" t="s">
        <v>15</v>
      </c>
      <c r="H78" t="s">
        <v>16</v>
      </c>
      <c r="I78">
        <v>100</v>
      </c>
      <c r="J78" t="s">
        <v>53</v>
      </c>
      <c r="K78" t="s">
        <v>18</v>
      </c>
    </row>
    <row r="79" spans="1:12" x14ac:dyDescent="0.5">
      <c r="A79" t="s">
        <v>188</v>
      </c>
      <c r="B79" t="s">
        <v>2817</v>
      </c>
      <c r="C79" t="s">
        <v>189</v>
      </c>
      <c r="D79" s="1">
        <v>3.2899999999999999E-2</v>
      </c>
      <c r="E79">
        <v>35.1</v>
      </c>
      <c r="F79" t="s">
        <v>14</v>
      </c>
      <c r="G79" t="s">
        <v>15</v>
      </c>
      <c r="H79" t="s">
        <v>16</v>
      </c>
      <c r="I79">
        <v>100</v>
      </c>
      <c r="J79" t="s">
        <v>53</v>
      </c>
      <c r="K79" t="s">
        <v>18</v>
      </c>
    </row>
    <row r="80" spans="1:12" x14ac:dyDescent="0.5">
      <c r="A80" t="s">
        <v>190</v>
      </c>
      <c r="B80" t="s">
        <v>2817</v>
      </c>
      <c r="C80" t="s">
        <v>191</v>
      </c>
      <c r="D80" s="1">
        <v>1.6400000000000001E-2</v>
      </c>
      <c r="E80">
        <v>57.9</v>
      </c>
      <c r="F80" t="s">
        <v>14</v>
      </c>
      <c r="G80" t="s">
        <v>15</v>
      </c>
      <c r="H80" t="s">
        <v>16</v>
      </c>
      <c r="I80">
        <v>100</v>
      </c>
      <c r="J80" t="s">
        <v>53</v>
      </c>
      <c r="K80" t="s">
        <v>18</v>
      </c>
    </row>
    <row r="81" spans="1:11" x14ac:dyDescent="0.5">
      <c r="A81" t="s">
        <v>192</v>
      </c>
      <c r="B81" t="s">
        <v>2817</v>
      </c>
      <c r="C81" t="s">
        <v>193</v>
      </c>
      <c r="D81" s="1">
        <v>6.4999999999999997E-3</v>
      </c>
      <c r="E81">
        <v>69.5</v>
      </c>
      <c r="F81" t="s">
        <v>14</v>
      </c>
      <c r="G81" t="s">
        <v>16</v>
      </c>
      <c r="H81" t="s">
        <v>16</v>
      </c>
      <c r="I81">
        <v>83.48</v>
      </c>
      <c r="J81" t="s">
        <v>53</v>
      </c>
      <c r="K81" t="s">
        <v>18</v>
      </c>
    </row>
    <row r="82" spans="1:11" x14ac:dyDescent="0.5">
      <c r="A82" t="s">
        <v>194</v>
      </c>
      <c r="B82" t="s">
        <v>2817</v>
      </c>
      <c r="C82" t="s">
        <v>195</v>
      </c>
      <c r="D82" s="1">
        <v>6.7000000000000002E-3</v>
      </c>
      <c r="E82">
        <v>74.099999999999994</v>
      </c>
      <c r="F82" t="s">
        <v>14</v>
      </c>
      <c r="G82" t="s">
        <v>15</v>
      </c>
      <c r="H82" t="s">
        <v>16</v>
      </c>
      <c r="I82">
        <v>75.3</v>
      </c>
      <c r="J82" t="s">
        <v>53</v>
      </c>
      <c r="K82" t="s">
        <v>18</v>
      </c>
    </row>
    <row r="83" spans="1:11" x14ac:dyDescent="0.5">
      <c r="A83" t="s">
        <v>196</v>
      </c>
      <c r="B83" t="s">
        <v>2817</v>
      </c>
      <c r="C83" t="s">
        <v>197</v>
      </c>
      <c r="D83" s="1">
        <v>1.7100000000000001E-2</v>
      </c>
      <c r="E83">
        <v>56.1</v>
      </c>
      <c r="F83" t="s">
        <v>14</v>
      </c>
      <c r="G83" t="s">
        <v>15</v>
      </c>
      <c r="H83" t="s">
        <v>16</v>
      </c>
      <c r="I83">
        <v>100</v>
      </c>
      <c r="J83" t="s">
        <v>53</v>
      </c>
      <c r="K83" t="s">
        <v>18</v>
      </c>
    </row>
    <row r="84" spans="1:11" x14ac:dyDescent="0.5">
      <c r="A84" t="s">
        <v>198</v>
      </c>
      <c r="B84" t="s">
        <v>2817</v>
      </c>
      <c r="C84" t="s">
        <v>199</v>
      </c>
      <c r="D84" s="1">
        <v>2.3800000000000002E-2</v>
      </c>
      <c r="E84">
        <v>48.2</v>
      </c>
      <c r="F84" t="s">
        <v>14</v>
      </c>
      <c r="G84" t="s">
        <v>15</v>
      </c>
      <c r="H84" t="s">
        <v>16</v>
      </c>
      <c r="I84">
        <v>78.36</v>
      </c>
      <c r="J84" t="s">
        <v>53</v>
      </c>
      <c r="K84" t="s">
        <v>18</v>
      </c>
    </row>
    <row r="85" spans="1:11" x14ac:dyDescent="0.5">
      <c r="A85" t="s">
        <v>200</v>
      </c>
      <c r="B85" t="s">
        <v>2817</v>
      </c>
      <c r="C85" t="s">
        <v>201</v>
      </c>
      <c r="D85" s="1">
        <v>4.4499999999999998E-2</v>
      </c>
      <c r="E85">
        <v>32.700000000000003</v>
      </c>
      <c r="F85" t="s">
        <v>14</v>
      </c>
      <c r="G85" t="s">
        <v>15</v>
      </c>
      <c r="H85" t="s">
        <v>16</v>
      </c>
      <c r="I85">
        <v>100</v>
      </c>
      <c r="J85" t="s">
        <v>53</v>
      </c>
      <c r="K85" t="s">
        <v>18</v>
      </c>
    </row>
    <row r="86" spans="1:11" x14ac:dyDescent="0.5">
      <c r="A86" t="s">
        <v>202</v>
      </c>
      <c r="B86" t="s">
        <v>2817</v>
      </c>
      <c r="C86" t="s">
        <v>203</v>
      </c>
      <c r="D86" s="1">
        <v>2.1399999999999999E-2</v>
      </c>
      <c r="E86">
        <v>32.6</v>
      </c>
      <c r="F86" t="s">
        <v>14</v>
      </c>
      <c r="G86" t="s">
        <v>15</v>
      </c>
      <c r="H86" t="s">
        <v>16</v>
      </c>
      <c r="I86">
        <v>100</v>
      </c>
      <c r="J86" t="s">
        <v>53</v>
      </c>
      <c r="K86" t="s">
        <v>18</v>
      </c>
    </row>
    <row r="87" spans="1:11" x14ac:dyDescent="0.5">
      <c r="A87" t="s">
        <v>204</v>
      </c>
      <c r="B87" t="s">
        <v>2817</v>
      </c>
      <c r="C87" t="s">
        <v>205</v>
      </c>
      <c r="D87" s="1">
        <v>7.1999999999999998E-3</v>
      </c>
      <c r="E87">
        <v>55.2</v>
      </c>
      <c r="F87" t="s">
        <v>14</v>
      </c>
      <c r="G87" t="s">
        <v>15</v>
      </c>
      <c r="H87" t="s">
        <v>16</v>
      </c>
      <c r="I87">
        <v>100</v>
      </c>
      <c r="J87" t="s">
        <v>53</v>
      </c>
      <c r="K87" t="s">
        <v>18</v>
      </c>
    </row>
    <row r="88" spans="1:11" x14ac:dyDescent="0.5">
      <c r="A88" t="s">
        <v>206</v>
      </c>
      <c r="B88" t="s">
        <v>2817</v>
      </c>
      <c r="C88" t="s">
        <v>207</v>
      </c>
      <c r="D88" s="1">
        <v>2.7400000000000001E-2</v>
      </c>
      <c r="E88">
        <v>35.4</v>
      </c>
      <c r="F88" t="s">
        <v>14</v>
      </c>
      <c r="G88" t="s">
        <v>15</v>
      </c>
      <c r="H88" t="s">
        <v>16</v>
      </c>
      <c r="I88">
        <v>95.63</v>
      </c>
      <c r="J88" t="s">
        <v>53</v>
      </c>
      <c r="K88" t="s">
        <v>18</v>
      </c>
    </row>
    <row r="89" spans="1:11" x14ac:dyDescent="0.5">
      <c r="A89" t="s">
        <v>208</v>
      </c>
      <c r="B89" t="s">
        <v>2817</v>
      </c>
      <c r="C89" t="s">
        <v>209</v>
      </c>
      <c r="D89" s="1">
        <v>3.2199999999999999E-2</v>
      </c>
      <c r="E89">
        <v>32</v>
      </c>
      <c r="F89" t="s">
        <v>14</v>
      </c>
      <c r="G89" t="s">
        <v>15</v>
      </c>
      <c r="H89" t="s">
        <v>16</v>
      </c>
      <c r="I89">
        <v>100</v>
      </c>
      <c r="J89" t="s">
        <v>53</v>
      </c>
      <c r="K89" t="s">
        <v>18</v>
      </c>
    </row>
    <row r="90" spans="1:11" x14ac:dyDescent="0.5">
      <c r="A90" t="s">
        <v>210</v>
      </c>
      <c r="B90" t="s">
        <v>2817</v>
      </c>
      <c r="C90" t="s">
        <v>211</v>
      </c>
      <c r="D90" s="1">
        <v>2.24E-2</v>
      </c>
      <c r="E90">
        <v>32</v>
      </c>
      <c r="F90" t="s">
        <v>14</v>
      </c>
      <c r="G90" t="s">
        <v>15</v>
      </c>
      <c r="H90" t="s">
        <v>16</v>
      </c>
      <c r="I90">
        <v>100</v>
      </c>
      <c r="J90" t="s">
        <v>53</v>
      </c>
      <c r="K90" t="s">
        <v>18</v>
      </c>
    </row>
    <row r="91" spans="1:11" x14ac:dyDescent="0.5">
      <c r="A91" t="s">
        <v>212</v>
      </c>
      <c r="B91" t="s">
        <v>2817</v>
      </c>
      <c r="C91" t="s">
        <v>213</v>
      </c>
      <c r="D91" s="1">
        <v>3.7100000000000001E-2</v>
      </c>
      <c r="E91">
        <v>31.9</v>
      </c>
      <c r="F91" t="s">
        <v>14</v>
      </c>
      <c r="G91" t="s">
        <v>15</v>
      </c>
      <c r="H91" t="s">
        <v>16</v>
      </c>
      <c r="I91">
        <v>100</v>
      </c>
      <c r="J91" t="s">
        <v>53</v>
      </c>
      <c r="K91" t="s">
        <v>18</v>
      </c>
    </row>
    <row r="92" spans="1:11" x14ac:dyDescent="0.5">
      <c r="A92" t="s">
        <v>214</v>
      </c>
      <c r="B92" t="s">
        <v>2817</v>
      </c>
      <c r="C92" t="s">
        <v>215</v>
      </c>
      <c r="D92" s="1">
        <v>3.2599999999999997E-2</v>
      </c>
      <c r="E92">
        <v>31.8</v>
      </c>
      <c r="F92" t="s">
        <v>14</v>
      </c>
      <c r="G92" t="s">
        <v>15</v>
      </c>
      <c r="H92" t="s">
        <v>16</v>
      </c>
      <c r="I92">
        <v>100</v>
      </c>
      <c r="J92" t="s">
        <v>53</v>
      </c>
      <c r="K92" t="s">
        <v>18</v>
      </c>
    </row>
    <row r="93" spans="1:11" x14ac:dyDescent="0.5">
      <c r="A93" t="s">
        <v>216</v>
      </c>
      <c r="B93" t="s">
        <v>2817</v>
      </c>
      <c r="C93" t="s">
        <v>217</v>
      </c>
      <c r="D93" s="1">
        <v>5.0900000000000001E-2</v>
      </c>
      <c r="E93">
        <v>30.7</v>
      </c>
      <c r="F93" t="s">
        <v>14</v>
      </c>
      <c r="G93" t="s">
        <v>15</v>
      </c>
      <c r="H93" t="s">
        <v>16</v>
      </c>
      <c r="I93">
        <v>100</v>
      </c>
      <c r="J93" t="s">
        <v>53</v>
      </c>
      <c r="K93" t="s">
        <v>18</v>
      </c>
    </row>
    <row r="94" spans="1:11" x14ac:dyDescent="0.5">
      <c r="A94" t="s">
        <v>218</v>
      </c>
      <c r="B94" t="s">
        <v>2817</v>
      </c>
      <c r="C94" t="s">
        <v>219</v>
      </c>
      <c r="D94" s="1">
        <v>3.1699999999999999E-2</v>
      </c>
      <c r="E94">
        <v>30.7</v>
      </c>
      <c r="F94" t="s">
        <v>14</v>
      </c>
      <c r="G94" t="s">
        <v>15</v>
      </c>
      <c r="H94" t="s">
        <v>16</v>
      </c>
      <c r="I94">
        <v>100</v>
      </c>
      <c r="J94" t="s">
        <v>53</v>
      </c>
      <c r="K94" t="s">
        <v>18</v>
      </c>
    </row>
    <row r="95" spans="1:11" x14ac:dyDescent="0.5">
      <c r="A95" t="s">
        <v>220</v>
      </c>
      <c r="B95" t="s">
        <v>2817</v>
      </c>
      <c r="C95" t="s">
        <v>221</v>
      </c>
      <c r="D95" s="1">
        <v>2.2000000000000001E-3</v>
      </c>
      <c r="E95">
        <v>53.3</v>
      </c>
      <c r="F95" t="s">
        <v>14</v>
      </c>
      <c r="G95" t="s">
        <v>15</v>
      </c>
      <c r="H95" t="s">
        <v>16</v>
      </c>
      <c r="I95">
        <v>100</v>
      </c>
      <c r="J95" t="s">
        <v>53</v>
      </c>
      <c r="K95" t="s">
        <v>18</v>
      </c>
    </row>
    <row r="96" spans="1:11" x14ac:dyDescent="0.5">
      <c r="A96" t="s">
        <v>222</v>
      </c>
      <c r="B96" t="s">
        <v>2817</v>
      </c>
      <c r="C96" t="s">
        <v>223</v>
      </c>
      <c r="D96" s="1">
        <v>3.6700000000000003E-2</v>
      </c>
      <c r="E96">
        <v>30.1</v>
      </c>
      <c r="F96" t="s">
        <v>14</v>
      </c>
      <c r="G96" t="s">
        <v>15</v>
      </c>
      <c r="H96" t="s">
        <v>16</v>
      </c>
      <c r="I96">
        <v>100</v>
      </c>
      <c r="J96" t="s">
        <v>53</v>
      </c>
      <c r="K96" t="s">
        <v>18</v>
      </c>
    </row>
    <row r="97" spans="1:12" x14ac:dyDescent="0.5">
      <c r="A97" t="s">
        <v>224</v>
      </c>
      <c r="B97" t="s">
        <v>2817</v>
      </c>
      <c r="C97" t="s">
        <v>225</v>
      </c>
      <c r="D97" s="1">
        <v>4.3999999999999997E-2</v>
      </c>
      <c r="E97">
        <v>29.2</v>
      </c>
      <c r="F97" t="s">
        <v>14</v>
      </c>
      <c r="G97" t="s">
        <v>15</v>
      </c>
      <c r="H97" t="s">
        <v>16</v>
      </c>
      <c r="I97">
        <v>100</v>
      </c>
      <c r="J97" t="s">
        <v>53</v>
      </c>
      <c r="K97" t="s">
        <v>18</v>
      </c>
    </row>
    <row r="98" spans="1:12" x14ac:dyDescent="0.5">
      <c r="A98" t="s">
        <v>226</v>
      </c>
      <c r="B98" t="s">
        <v>2817</v>
      </c>
      <c r="C98" t="s">
        <v>227</v>
      </c>
      <c r="D98" s="1">
        <v>9.1999999999999998E-3</v>
      </c>
      <c r="E98">
        <v>51.9</v>
      </c>
      <c r="F98" t="s">
        <v>14</v>
      </c>
      <c r="G98" t="s">
        <v>15</v>
      </c>
      <c r="H98" t="s">
        <v>16</v>
      </c>
      <c r="I98">
        <v>100</v>
      </c>
      <c r="J98" t="s">
        <v>53</v>
      </c>
      <c r="K98" t="s">
        <v>18</v>
      </c>
    </row>
    <row r="99" spans="1:12" x14ac:dyDescent="0.5">
      <c r="A99" t="s">
        <v>228</v>
      </c>
      <c r="B99" t="s">
        <v>2817</v>
      </c>
      <c r="C99" t="s">
        <v>229</v>
      </c>
      <c r="D99" s="1">
        <v>3.8600000000000002E-2</v>
      </c>
      <c r="E99">
        <v>37.700000000000003</v>
      </c>
      <c r="F99" t="s">
        <v>14</v>
      </c>
      <c r="G99" t="s">
        <v>15</v>
      </c>
      <c r="H99" t="s">
        <v>16</v>
      </c>
      <c r="I99">
        <v>87.53</v>
      </c>
      <c r="J99" t="s">
        <v>53</v>
      </c>
      <c r="K99" t="s">
        <v>18</v>
      </c>
    </row>
    <row r="100" spans="1:12" x14ac:dyDescent="0.5">
      <c r="A100" t="s">
        <v>230</v>
      </c>
      <c r="B100" t="s">
        <v>2817</v>
      </c>
      <c r="C100" t="s">
        <v>231</v>
      </c>
      <c r="D100" t="s">
        <v>28</v>
      </c>
      <c r="E100">
        <v>55.7</v>
      </c>
      <c r="F100" t="s">
        <v>14</v>
      </c>
      <c r="G100" t="s">
        <v>15</v>
      </c>
      <c r="H100" t="s">
        <v>32</v>
      </c>
      <c r="I100">
        <v>33.32</v>
      </c>
      <c r="J100" t="s">
        <v>33</v>
      </c>
      <c r="K100" t="s">
        <v>34</v>
      </c>
      <c r="L100" t="s">
        <v>232</v>
      </c>
    </row>
    <row r="101" spans="1:12" x14ac:dyDescent="0.5">
      <c r="A101" t="s">
        <v>233</v>
      </c>
      <c r="B101" t="s">
        <v>2817</v>
      </c>
      <c r="C101" t="s">
        <v>234</v>
      </c>
      <c r="D101" s="1">
        <v>2.6200000000000001E-2</v>
      </c>
      <c r="E101">
        <v>36.799999999999997</v>
      </c>
      <c r="F101" t="s">
        <v>14</v>
      </c>
      <c r="G101" t="s">
        <v>15</v>
      </c>
      <c r="H101" t="s">
        <v>16</v>
      </c>
      <c r="I101">
        <v>88.18</v>
      </c>
      <c r="J101" t="s">
        <v>53</v>
      </c>
      <c r="K101" t="s">
        <v>18</v>
      </c>
    </row>
    <row r="102" spans="1:12" x14ac:dyDescent="0.5">
      <c r="A102" t="s">
        <v>235</v>
      </c>
      <c r="B102" t="s">
        <v>2817</v>
      </c>
      <c r="C102" t="s">
        <v>236</v>
      </c>
      <c r="D102" s="1">
        <v>6.0000000000000001E-3</v>
      </c>
      <c r="E102">
        <v>59.4</v>
      </c>
      <c r="F102" t="s">
        <v>14</v>
      </c>
      <c r="G102" t="s">
        <v>15</v>
      </c>
      <c r="H102" t="s">
        <v>16</v>
      </c>
      <c r="I102">
        <v>87.78</v>
      </c>
      <c r="J102" t="s">
        <v>53</v>
      </c>
      <c r="K102" t="s">
        <v>18</v>
      </c>
    </row>
    <row r="103" spans="1:12" x14ac:dyDescent="0.5">
      <c r="A103" t="s">
        <v>237</v>
      </c>
      <c r="B103" t="s">
        <v>2817</v>
      </c>
      <c r="C103" t="s">
        <v>238</v>
      </c>
      <c r="D103" s="1">
        <v>4.3799999999999999E-2</v>
      </c>
      <c r="E103">
        <v>27.8</v>
      </c>
      <c r="F103" t="s">
        <v>14</v>
      </c>
      <c r="G103" t="s">
        <v>15</v>
      </c>
      <c r="H103" t="s">
        <v>16</v>
      </c>
      <c r="I103">
        <v>100</v>
      </c>
      <c r="J103" t="s">
        <v>53</v>
      </c>
      <c r="K103" t="s">
        <v>18</v>
      </c>
    </row>
    <row r="104" spans="1:12" x14ac:dyDescent="0.5">
      <c r="A104" t="s">
        <v>239</v>
      </c>
      <c r="B104" t="s">
        <v>2817</v>
      </c>
      <c r="C104" t="s">
        <v>240</v>
      </c>
      <c r="D104" s="1">
        <v>1.9099999999999999E-2</v>
      </c>
      <c r="E104">
        <v>50.1</v>
      </c>
      <c r="F104" t="s">
        <v>14</v>
      </c>
      <c r="G104" t="s">
        <v>15</v>
      </c>
      <c r="H104" t="s">
        <v>16</v>
      </c>
      <c r="I104">
        <v>100</v>
      </c>
      <c r="J104" t="s">
        <v>53</v>
      </c>
      <c r="K104" t="s">
        <v>18</v>
      </c>
    </row>
    <row r="105" spans="1:12" x14ac:dyDescent="0.5">
      <c r="A105" t="s">
        <v>241</v>
      </c>
      <c r="B105" t="s">
        <v>2817</v>
      </c>
      <c r="C105" t="s">
        <v>242</v>
      </c>
      <c r="D105" s="1">
        <v>6.2899999999999998E-2</v>
      </c>
      <c r="E105">
        <v>27.5</v>
      </c>
      <c r="F105" t="s">
        <v>14</v>
      </c>
      <c r="G105" t="s">
        <v>15</v>
      </c>
      <c r="H105" t="s">
        <v>16</v>
      </c>
      <c r="I105">
        <v>99.52</v>
      </c>
      <c r="J105" t="s">
        <v>53</v>
      </c>
      <c r="K105" t="s">
        <v>18</v>
      </c>
    </row>
    <row r="106" spans="1:12" x14ac:dyDescent="0.5">
      <c r="A106" t="s">
        <v>243</v>
      </c>
      <c r="B106" t="s">
        <v>2817</v>
      </c>
      <c r="C106" t="s">
        <v>244</v>
      </c>
      <c r="D106" s="1">
        <v>1.4800000000000001E-2</v>
      </c>
      <c r="E106">
        <v>49.3</v>
      </c>
      <c r="F106" t="s">
        <v>14</v>
      </c>
      <c r="G106" t="s">
        <v>15</v>
      </c>
      <c r="H106" t="s">
        <v>16</v>
      </c>
      <c r="I106">
        <v>100</v>
      </c>
      <c r="J106" t="s">
        <v>53</v>
      </c>
      <c r="K106" t="s">
        <v>18</v>
      </c>
    </row>
    <row r="107" spans="1:12" x14ac:dyDescent="0.5">
      <c r="A107" t="s">
        <v>245</v>
      </c>
      <c r="B107" t="s">
        <v>2817</v>
      </c>
      <c r="C107" t="s">
        <v>246</v>
      </c>
      <c r="D107" s="1">
        <v>3.5000000000000001E-3</v>
      </c>
      <c r="E107">
        <v>49.2</v>
      </c>
      <c r="F107" t="s">
        <v>14</v>
      </c>
      <c r="G107" t="s">
        <v>15</v>
      </c>
      <c r="H107" t="s">
        <v>16</v>
      </c>
      <c r="I107">
        <v>100</v>
      </c>
      <c r="J107" t="s">
        <v>53</v>
      </c>
      <c r="K107" t="s">
        <v>18</v>
      </c>
    </row>
    <row r="108" spans="1:12" x14ac:dyDescent="0.5">
      <c r="A108" t="s">
        <v>247</v>
      </c>
      <c r="B108" t="s">
        <v>2817</v>
      </c>
      <c r="C108" t="s">
        <v>248</v>
      </c>
      <c r="D108" s="1">
        <v>6.6E-3</v>
      </c>
      <c r="E108">
        <v>48.9</v>
      </c>
      <c r="F108" t="s">
        <v>14</v>
      </c>
      <c r="G108" t="s">
        <v>15</v>
      </c>
      <c r="H108" t="s">
        <v>16</v>
      </c>
      <c r="I108">
        <v>100</v>
      </c>
      <c r="J108" t="s">
        <v>53</v>
      </c>
      <c r="K108" t="s">
        <v>18</v>
      </c>
    </row>
    <row r="109" spans="1:12" x14ac:dyDescent="0.5">
      <c r="A109" t="s">
        <v>249</v>
      </c>
      <c r="B109" t="s">
        <v>2817</v>
      </c>
      <c r="C109" t="s">
        <v>250</v>
      </c>
      <c r="D109" s="1">
        <v>3.9899999999999998E-2</v>
      </c>
      <c r="E109">
        <v>25.8</v>
      </c>
      <c r="F109" t="s">
        <v>14</v>
      </c>
      <c r="G109" t="s">
        <v>15</v>
      </c>
      <c r="H109" t="s">
        <v>16</v>
      </c>
      <c r="I109">
        <v>100</v>
      </c>
      <c r="J109" t="s">
        <v>53</v>
      </c>
      <c r="K109" t="s">
        <v>18</v>
      </c>
    </row>
    <row r="110" spans="1:12" x14ac:dyDescent="0.5">
      <c r="A110" t="s">
        <v>251</v>
      </c>
      <c r="B110" t="s">
        <v>2817</v>
      </c>
      <c r="C110" t="s">
        <v>252</v>
      </c>
      <c r="D110" t="s">
        <v>28</v>
      </c>
      <c r="E110">
        <v>78.7</v>
      </c>
      <c r="F110" t="s">
        <v>14</v>
      </c>
      <c r="G110" t="s">
        <v>253</v>
      </c>
      <c r="H110" t="s">
        <v>254</v>
      </c>
      <c r="I110">
        <v>44.34</v>
      </c>
      <c r="J110" t="s">
        <v>255</v>
      </c>
      <c r="K110" t="s">
        <v>34</v>
      </c>
      <c r="L110" t="s">
        <v>256</v>
      </c>
    </row>
    <row r="111" spans="1:12" x14ac:dyDescent="0.5">
      <c r="A111" t="s">
        <v>257</v>
      </c>
      <c r="B111" t="s">
        <v>2817</v>
      </c>
      <c r="C111" t="s">
        <v>258</v>
      </c>
      <c r="D111" s="1">
        <v>3.7600000000000001E-2</v>
      </c>
      <c r="E111">
        <v>25.5</v>
      </c>
      <c r="F111" t="s">
        <v>14</v>
      </c>
      <c r="G111" t="s">
        <v>15</v>
      </c>
      <c r="H111" t="s">
        <v>16</v>
      </c>
      <c r="I111">
        <v>100</v>
      </c>
      <c r="J111" t="s">
        <v>53</v>
      </c>
      <c r="K111" t="s">
        <v>18</v>
      </c>
    </row>
    <row r="112" spans="1:12" x14ac:dyDescent="0.5">
      <c r="A112" t="s">
        <v>259</v>
      </c>
      <c r="B112" t="s">
        <v>2817</v>
      </c>
      <c r="C112" t="s">
        <v>260</v>
      </c>
      <c r="D112" s="1">
        <v>1.06E-2</v>
      </c>
      <c r="E112">
        <v>48.1</v>
      </c>
      <c r="F112" t="s">
        <v>14</v>
      </c>
      <c r="G112" t="s">
        <v>15</v>
      </c>
      <c r="H112" t="s">
        <v>16</v>
      </c>
      <c r="I112">
        <v>100</v>
      </c>
      <c r="J112" t="s">
        <v>53</v>
      </c>
      <c r="K112" t="s">
        <v>18</v>
      </c>
    </row>
    <row r="113" spans="1:11" x14ac:dyDescent="0.5">
      <c r="A113" t="s">
        <v>261</v>
      </c>
      <c r="B113" t="s">
        <v>2817</v>
      </c>
      <c r="C113" t="s">
        <v>262</v>
      </c>
      <c r="D113" s="1">
        <v>1.15E-2</v>
      </c>
      <c r="E113">
        <v>48.1</v>
      </c>
      <c r="F113" t="s">
        <v>14</v>
      </c>
      <c r="G113" t="s">
        <v>15</v>
      </c>
      <c r="H113" t="s">
        <v>16</v>
      </c>
      <c r="I113">
        <v>100</v>
      </c>
      <c r="J113" t="s">
        <v>53</v>
      </c>
      <c r="K113" t="s">
        <v>18</v>
      </c>
    </row>
    <row r="114" spans="1:11" x14ac:dyDescent="0.5">
      <c r="A114" t="s">
        <v>263</v>
      </c>
      <c r="B114" t="s">
        <v>2817</v>
      </c>
      <c r="C114" t="s">
        <v>264</v>
      </c>
      <c r="D114" s="1">
        <v>9.5999999999999992E-3</v>
      </c>
      <c r="E114">
        <v>55.7</v>
      </c>
      <c r="F114" t="s">
        <v>14</v>
      </c>
      <c r="G114" t="s">
        <v>15</v>
      </c>
      <c r="H114" t="s">
        <v>16</v>
      </c>
      <c r="I114">
        <v>89.28</v>
      </c>
      <c r="J114" t="s">
        <v>53</v>
      </c>
      <c r="K114" t="s">
        <v>18</v>
      </c>
    </row>
    <row r="115" spans="1:11" x14ac:dyDescent="0.5">
      <c r="A115" t="s">
        <v>265</v>
      </c>
      <c r="B115" t="s">
        <v>2817</v>
      </c>
      <c r="C115" t="s">
        <v>266</v>
      </c>
      <c r="D115" s="1">
        <v>1.1599999999999999E-2</v>
      </c>
      <c r="E115">
        <v>47.9</v>
      </c>
      <c r="F115" t="s">
        <v>14</v>
      </c>
      <c r="G115" t="s">
        <v>15</v>
      </c>
      <c r="H115" t="s">
        <v>16</v>
      </c>
      <c r="I115">
        <v>100</v>
      </c>
      <c r="J115" t="s">
        <v>53</v>
      </c>
      <c r="K115" t="s">
        <v>18</v>
      </c>
    </row>
    <row r="116" spans="1:11" x14ac:dyDescent="0.5">
      <c r="A116" t="s">
        <v>267</v>
      </c>
      <c r="B116" t="s">
        <v>2817</v>
      </c>
      <c r="C116" t="s">
        <v>268</v>
      </c>
      <c r="D116" s="1">
        <v>2.5499999999999998E-2</v>
      </c>
      <c r="E116">
        <v>25</v>
      </c>
      <c r="F116" t="s">
        <v>14</v>
      </c>
      <c r="G116" t="s">
        <v>15</v>
      </c>
      <c r="H116" t="s">
        <v>16</v>
      </c>
      <c r="I116">
        <v>100</v>
      </c>
      <c r="J116" t="s">
        <v>53</v>
      </c>
      <c r="K116" t="s">
        <v>18</v>
      </c>
    </row>
    <row r="117" spans="1:11" x14ac:dyDescent="0.5">
      <c r="A117" t="s">
        <v>269</v>
      </c>
      <c r="B117" t="s">
        <v>2817</v>
      </c>
      <c r="C117" t="s">
        <v>270</v>
      </c>
      <c r="D117" s="1">
        <v>2.9499999999999998E-2</v>
      </c>
      <c r="E117">
        <v>51.1</v>
      </c>
      <c r="F117" t="s">
        <v>14</v>
      </c>
      <c r="G117" t="s">
        <v>16</v>
      </c>
      <c r="H117" t="s">
        <v>16</v>
      </c>
      <c r="I117">
        <v>62.71</v>
      </c>
      <c r="J117" t="s">
        <v>53</v>
      </c>
      <c r="K117" t="s">
        <v>18</v>
      </c>
    </row>
    <row r="118" spans="1:11" x14ac:dyDescent="0.5">
      <c r="A118" t="s">
        <v>271</v>
      </c>
      <c r="B118" t="s">
        <v>2817</v>
      </c>
      <c r="C118" t="s">
        <v>272</v>
      </c>
      <c r="D118" s="1">
        <v>4.3999999999999997E-2</v>
      </c>
      <c r="E118">
        <v>24.3</v>
      </c>
      <c r="F118" t="s">
        <v>14</v>
      </c>
      <c r="G118" t="s">
        <v>15</v>
      </c>
      <c r="H118" t="s">
        <v>16</v>
      </c>
      <c r="I118">
        <v>100</v>
      </c>
      <c r="J118" t="s">
        <v>53</v>
      </c>
      <c r="K118" t="s">
        <v>18</v>
      </c>
    </row>
    <row r="119" spans="1:11" x14ac:dyDescent="0.5">
      <c r="A119" t="s">
        <v>273</v>
      </c>
      <c r="B119" t="s">
        <v>2817</v>
      </c>
      <c r="C119" t="s">
        <v>274</v>
      </c>
      <c r="D119" s="1">
        <v>3.2099999999999997E-2</v>
      </c>
      <c r="E119">
        <v>24.3</v>
      </c>
      <c r="F119" t="s">
        <v>14</v>
      </c>
      <c r="G119" t="s">
        <v>15</v>
      </c>
      <c r="H119" t="s">
        <v>16</v>
      </c>
      <c r="I119">
        <v>100</v>
      </c>
      <c r="J119" t="s">
        <v>53</v>
      </c>
      <c r="K119" t="s">
        <v>18</v>
      </c>
    </row>
    <row r="120" spans="1:11" x14ac:dyDescent="0.5">
      <c r="A120" t="s">
        <v>275</v>
      </c>
      <c r="B120" t="s">
        <v>2817</v>
      </c>
      <c r="C120" t="s">
        <v>276</v>
      </c>
      <c r="D120" s="1">
        <v>3.8300000000000001E-2</v>
      </c>
      <c r="E120">
        <v>24.1</v>
      </c>
      <c r="F120" t="s">
        <v>14</v>
      </c>
      <c r="G120" t="s">
        <v>15</v>
      </c>
      <c r="H120" t="s">
        <v>16</v>
      </c>
      <c r="I120">
        <v>100</v>
      </c>
      <c r="J120" t="s">
        <v>53</v>
      </c>
      <c r="K120" t="s">
        <v>18</v>
      </c>
    </row>
    <row r="121" spans="1:11" x14ac:dyDescent="0.5">
      <c r="A121" t="s">
        <v>277</v>
      </c>
      <c r="B121" t="s">
        <v>2817</v>
      </c>
      <c r="C121" t="s">
        <v>278</v>
      </c>
      <c r="D121" s="1">
        <v>5.5999999999999999E-3</v>
      </c>
      <c r="E121">
        <v>46.9</v>
      </c>
      <c r="F121" t="s">
        <v>14</v>
      </c>
      <c r="G121" t="s">
        <v>15</v>
      </c>
      <c r="H121" t="s">
        <v>16</v>
      </c>
      <c r="I121">
        <v>100</v>
      </c>
      <c r="J121" t="s">
        <v>53</v>
      </c>
      <c r="K121" t="s">
        <v>18</v>
      </c>
    </row>
    <row r="122" spans="1:11" x14ac:dyDescent="0.5">
      <c r="A122" t="s">
        <v>279</v>
      </c>
      <c r="B122" t="s">
        <v>2817</v>
      </c>
      <c r="C122" t="s">
        <v>280</v>
      </c>
      <c r="D122" s="1">
        <v>1.11E-2</v>
      </c>
      <c r="E122">
        <v>46.7</v>
      </c>
      <c r="F122" t="s">
        <v>14</v>
      </c>
      <c r="G122" t="s">
        <v>15</v>
      </c>
      <c r="H122" t="s">
        <v>16</v>
      </c>
      <c r="I122">
        <v>100</v>
      </c>
      <c r="J122" t="s">
        <v>53</v>
      </c>
      <c r="K122" t="s">
        <v>18</v>
      </c>
    </row>
    <row r="123" spans="1:11" x14ac:dyDescent="0.5">
      <c r="A123" t="s">
        <v>281</v>
      </c>
      <c r="B123" t="s">
        <v>2817</v>
      </c>
      <c r="C123" t="s">
        <v>282</v>
      </c>
      <c r="D123" s="1">
        <v>4.65E-2</v>
      </c>
      <c r="E123">
        <v>23.6</v>
      </c>
      <c r="F123" t="s">
        <v>14</v>
      </c>
      <c r="G123" t="s">
        <v>15</v>
      </c>
      <c r="H123" t="s">
        <v>16</v>
      </c>
      <c r="I123">
        <v>100</v>
      </c>
      <c r="J123" t="s">
        <v>53</v>
      </c>
      <c r="K123" t="s">
        <v>18</v>
      </c>
    </row>
    <row r="124" spans="1:11" x14ac:dyDescent="0.5">
      <c r="A124" t="s">
        <v>283</v>
      </c>
      <c r="B124" t="s">
        <v>2817</v>
      </c>
      <c r="C124" t="s">
        <v>284</v>
      </c>
      <c r="D124" s="1">
        <v>1.66E-2</v>
      </c>
      <c r="E124">
        <v>46.2</v>
      </c>
      <c r="F124" t="s">
        <v>14</v>
      </c>
      <c r="G124" t="s">
        <v>15</v>
      </c>
      <c r="H124" t="s">
        <v>16</v>
      </c>
      <c r="I124">
        <v>100</v>
      </c>
      <c r="J124" t="s">
        <v>53</v>
      </c>
      <c r="K124" t="s">
        <v>18</v>
      </c>
    </row>
    <row r="125" spans="1:11" x14ac:dyDescent="0.5">
      <c r="A125" t="s">
        <v>285</v>
      </c>
      <c r="B125" t="s">
        <v>2817</v>
      </c>
      <c r="C125" t="s">
        <v>286</v>
      </c>
      <c r="D125" t="s">
        <v>28</v>
      </c>
      <c r="E125">
        <v>54.1</v>
      </c>
      <c r="F125" t="s">
        <v>14</v>
      </c>
      <c r="G125" t="s">
        <v>15</v>
      </c>
      <c r="H125" t="s">
        <v>16</v>
      </c>
      <c r="I125">
        <v>88.29</v>
      </c>
      <c r="J125" t="s">
        <v>53</v>
      </c>
      <c r="K125" t="s">
        <v>18</v>
      </c>
    </row>
    <row r="126" spans="1:11" x14ac:dyDescent="0.5">
      <c r="A126" t="s">
        <v>287</v>
      </c>
      <c r="B126" t="s">
        <v>2817</v>
      </c>
      <c r="C126" t="s">
        <v>288</v>
      </c>
      <c r="D126" t="s">
        <v>28</v>
      </c>
      <c r="E126">
        <v>45.4</v>
      </c>
      <c r="F126" t="s">
        <v>14</v>
      </c>
      <c r="G126" t="s">
        <v>15</v>
      </c>
      <c r="H126" t="s">
        <v>16</v>
      </c>
      <c r="I126">
        <v>100</v>
      </c>
      <c r="J126" t="s">
        <v>53</v>
      </c>
      <c r="K126" t="s">
        <v>18</v>
      </c>
    </row>
    <row r="127" spans="1:11" x14ac:dyDescent="0.5">
      <c r="A127" t="s">
        <v>289</v>
      </c>
      <c r="B127" t="s">
        <v>2817</v>
      </c>
      <c r="C127" t="s">
        <v>290</v>
      </c>
      <c r="D127" s="1">
        <v>2.6700000000000002E-2</v>
      </c>
      <c r="E127">
        <v>22.4</v>
      </c>
      <c r="F127" t="s">
        <v>14</v>
      </c>
      <c r="G127" t="s">
        <v>15</v>
      </c>
      <c r="H127" t="s">
        <v>16</v>
      </c>
      <c r="I127">
        <v>100</v>
      </c>
      <c r="J127" t="s">
        <v>53</v>
      </c>
      <c r="K127" t="s">
        <v>18</v>
      </c>
    </row>
    <row r="128" spans="1:11" x14ac:dyDescent="0.5">
      <c r="A128" t="s">
        <v>291</v>
      </c>
      <c r="B128" t="s">
        <v>2817</v>
      </c>
      <c r="C128" t="s">
        <v>292</v>
      </c>
      <c r="D128" t="s">
        <v>28</v>
      </c>
      <c r="E128">
        <v>45.2</v>
      </c>
      <c r="F128" t="s">
        <v>14</v>
      </c>
      <c r="G128" t="s">
        <v>15</v>
      </c>
      <c r="H128" t="s">
        <v>16</v>
      </c>
      <c r="I128">
        <v>100</v>
      </c>
      <c r="J128" t="s">
        <v>53</v>
      </c>
      <c r="K128" t="s">
        <v>18</v>
      </c>
    </row>
    <row r="129" spans="1:11" x14ac:dyDescent="0.5">
      <c r="A129" t="s">
        <v>293</v>
      </c>
      <c r="B129" t="s">
        <v>2817</v>
      </c>
      <c r="C129" t="s">
        <v>294</v>
      </c>
      <c r="D129" s="1">
        <v>3.6299999999999999E-2</v>
      </c>
      <c r="E129">
        <v>50.9</v>
      </c>
      <c r="F129" t="s">
        <v>14</v>
      </c>
      <c r="G129" t="s">
        <v>16</v>
      </c>
      <c r="H129" t="s">
        <v>16</v>
      </c>
      <c r="I129">
        <v>58.61</v>
      </c>
      <c r="J129" t="s">
        <v>53</v>
      </c>
      <c r="K129" t="s">
        <v>18</v>
      </c>
    </row>
    <row r="130" spans="1:11" x14ac:dyDescent="0.5">
      <c r="A130" t="s">
        <v>295</v>
      </c>
      <c r="B130" t="s">
        <v>2817</v>
      </c>
      <c r="C130" t="s">
        <v>296</v>
      </c>
      <c r="D130" s="1">
        <v>1.6899999999999998E-2</v>
      </c>
      <c r="E130">
        <v>51.8</v>
      </c>
      <c r="F130" t="s">
        <v>14</v>
      </c>
      <c r="G130" t="s">
        <v>15</v>
      </c>
      <c r="H130" t="s">
        <v>16</v>
      </c>
      <c r="I130">
        <v>89.06</v>
      </c>
      <c r="J130" t="s">
        <v>53</v>
      </c>
      <c r="K130" t="s">
        <v>18</v>
      </c>
    </row>
    <row r="131" spans="1:11" x14ac:dyDescent="0.5">
      <c r="A131" t="s">
        <v>297</v>
      </c>
      <c r="B131" t="s">
        <v>2817</v>
      </c>
      <c r="C131" t="s">
        <v>298</v>
      </c>
      <c r="D131" s="1">
        <v>1.2200000000000001E-2</v>
      </c>
      <c r="E131">
        <v>42.7</v>
      </c>
      <c r="F131" t="s">
        <v>14</v>
      </c>
      <c r="G131" t="s">
        <v>15</v>
      </c>
      <c r="H131" t="s">
        <v>16</v>
      </c>
      <c r="I131">
        <v>100</v>
      </c>
      <c r="J131" t="s">
        <v>53</v>
      </c>
      <c r="K131" t="s">
        <v>18</v>
      </c>
    </row>
    <row r="132" spans="1:11" x14ac:dyDescent="0.5">
      <c r="A132" t="s">
        <v>299</v>
      </c>
      <c r="B132" t="s">
        <v>2817</v>
      </c>
      <c r="C132" t="s">
        <v>300</v>
      </c>
      <c r="D132" s="1">
        <v>1.8200000000000001E-2</v>
      </c>
      <c r="E132">
        <v>42.3</v>
      </c>
      <c r="F132" t="s">
        <v>14</v>
      </c>
      <c r="G132" t="s">
        <v>15</v>
      </c>
      <c r="H132" t="s">
        <v>16</v>
      </c>
      <c r="I132">
        <v>100</v>
      </c>
      <c r="J132" t="s">
        <v>53</v>
      </c>
      <c r="K132" t="s">
        <v>18</v>
      </c>
    </row>
    <row r="133" spans="1:11" x14ac:dyDescent="0.5">
      <c r="A133" t="s">
        <v>301</v>
      </c>
      <c r="B133" t="s">
        <v>2817</v>
      </c>
      <c r="C133" t="s">
        <v>302</v>
      </c>
      <c r="D133" s="1">
        <v>1.7100000000000001E-2</v>
      </c>
      <c r="E133">
        <v>55.2</v>
      </c>
      <c r="F133" t="s">
        <v>14</v>
      </c>
      <c r="G133" t="s">
        <v>15</v>
      </c>
      <c r="H133" t="s">
        <v>16</v>
      </c>
      <c r="I133">
        <v>81.010000000000005</v>
      </c>
      <c r="J133" t="s">
        <v>53</v>
      </c>
      <c r="K133" t="s">
        <v>18</v>
      </c>
    </row>
    <row r="134" spans="1:11" x14ac:dyDescent="0.5">
      <c r="A134" t="s">
        <v>303</v>
      </c>
      <c r="B134" t="s">
        <v>2817</v>
      </c>
      <c r="C134" t="s">
        <v>304</v>
      </c>
      <c r="D134" s="1">
        <v>9.1999999999999998E-3</v>
      </c>
      <c r="E134">
        <v>41.6</v>
      </c>
      <c r="F134" t="s">
        <v>14</v>
      </c>
      <c r="G134" t="s">
        <v>15</v>
      </c>
      <c r="H134" t="s">
        <v>16</v>
      </c>
      <c r="I134">
        <v>100</v>
      </c>
      <c r="J134" t="s">
        <v>53</v>
      </c>
      <c r="K134" t="s">
        <v>18</v>
      </c>
    </row>
    <row r="135" spans="1:11" x14ac:dyDescent="0.5">
      <c r="A135" t="s">
        <v>305</v>
      </c>
      <c r="B135" t="s">
        <v>2817</v>
      </c>
      <c r="C135" t="s">
        <v>306</v>
      </c>
      <c r="D135" s="1">
        <v>1.15E-2</v>
      </c>
      <c r="E135">
        <v>41.6</v>
      </c>
      <c r="F135" t="s">
        <v>14</v>
      </c>
      <c r="G135" t="s">
        <v>15</v>
      </c>
      <c r="H135" t="s">
        <v>16</v>
      </c>
      <c r="I135">
        <v>100</v>
      </c>
      <c r="J135" t="s">
        <v>53</v>
      </c>
      <c r="K135" t="s">
        <v>18</v>
      </c>
    </row>
    <row r="136" spans="1:11" x14ac:dyDescent="0.5">
      <c r="A136" t="s">
        <v>307</v>
      </c>
      <c r="B136" t="s">
        <v>2817</v>
      </c>
      <c r="C136" t="s">
        <v>308</v>
      </c>
      <c r="D136" s="1">
        <v>1.6E-2</v>
      </c>
      <c r="E136">
        <v>50</v>
      </c>
      <c r="F136" t="s">
        <v>14</v>
      </c>
      <c r="G136" t="s">
        <v>15</v>
      </c>
      <c r="H136" t="s">
        <v>16</v>
      </c>
      <c r="I136">
        <v>88.19</v>
      </c>
      <c r="J136" t="s">
        <v>53</v>
      </c>
      <c r="K136" t="s">
        <v>18</v>
      </c>
    </row>
    <row r="137" spans="1:11" x14ac:dyDescent="0.5">
      <c r="A137" t="s">
        <v>309</v>
      </c>
      <c r="B137" t="s">
        <v>2817</v>
      </c>
      <c r="C137" t="s">
        <v>310</v>
      </c>
      <c r="D137" s="1">
        <v>3.6499999999999998E-2</v>
      </c>
      <c r="E137">
        <v>29.9</v>
      </c>
      <c r="F137" t="s">
        <v>14</v>
      </c>
      <c r="G137" t="s">
        <v>15</v>
      </c>
      <c r="H137" t="s">
        <v>16</v>
      </c>
      <c r="I137">
        <v>83.59</v>
      </c>
      <c r="J137" t="s">
        <v>53</v>
      </c>
      <c r="K137" t="s">
        <v>18</v>
      </c>
    </row>
    <row r="138" spans="1:11" x14ac:dyDescent="0.5">
      <c r="A138" t="s">
        <v>311</v>
      </c>
      <c r="B138" t="s">
        <v>2817</v>
      </c>
      <c r="C138" t="s">
        <v>312</v>
      </c>
      <c r="D138" s="1">
        <v>3.5999999999999999E-3</v>
      </c>
      <c r="E138">
        <v>40.4</v>
      </c>
      <c r="F138" t="s">
        <v>14</v>
      </c>
      <c r="G138" t="s">
        <v>15</v>
      </c>
      <c r="H138" t="s">
        <v>16</v>
      </c>
      <c r="I138">
        <v>100</v>
      </c>
      <c r="J138" t="s">
        <v>53</v>
      </c>
      <c r="K138" t="s">
        <v>18</v>
      </c>
    </row>
    <row r="139" spans="1:11" x14ac:dyDescent="0.5">
      <c r="A139" t="s">
        <v>313</v>
      </c>
      <c r="B139" t="s">
        <v>2817</v>
      </c>
      <c r="C139" t="s">
        <v>314</v>
      </c>
      <c r="D139" t="s">
        <v>28</v>
      </c>
      <c r="E139">
        <v>39.4</v>
      </c>
      <c r="F139" t="s">
        <v>14</v>
      </c>
      <c r="G139" t="s">
        <v>15</v>
      </c>
      <c r="H139" t="s">
        <v>16</v>
      </c>
      <c r="I139">
        <v>100</v>
      </c>
      <c r="J139" t="s">
        <v>53</v>
      </c>
      <c r="K139" t="s">
        <v>18</v>
      </c>
    </row>
    <row r="140" spans="1:11" x14ac:dyDescent="0.5">
      <c r="A140" t="s">
        <v>315</v>
      </c>
      <c r="B140" t="s">
        <v>2817</v>
      </c>
      <c r="C140" t="s">
        <v>316</v>
      </c>
      <c r="D140" s="1">
        <v>5.4999999999999997E-3</v>
      </c>
      <c r="E140">
        <v>39.4</v>
      </c>
      <c r="F140" t="s">
        <v>14</v>
      </c>
      <c r="G140" t="s">
        <v>15</v>
      </c>
      <c r="H140" t="s">
        <v>16</v>
      </c>
      <c r="I140">
        <v>100</v>
      </c>
      <c r="J140" t="s">
        <v>53</v>
      </c>
      <c r="K140" t="s">
        <v>18</v>
      </c>
    </row>
    <row r="141" spans="1:11" x14ac:dyDescent="0.5">
      <c r="A141" t="s">
        <v>317</v>
      </c>
      <c r="B141" t="s">
        <v>2817</v>
      </c>
      <c r="C141" t="s">
        <v>318</v>
      </c>
      <c r="D141" s="1">
        <v>1.9400000000000001E-2</v>
      </c>
      <c r="E141">
        <v>39.200000000000003</v>
      </c>
      <c r="F141" t="s">
        <v>14</v>
      </c>
      <c r="G141" t="s">
        <v>15</v>
      </c>
      <c r="H141" t="s">
        <v>16</v>
      </c>
      <c r="I141">
        <v>100</v>
      </c>
      <c r="J141" t="s">
        <v>53</v>
      </c>
      <c r="K141" t="s">
        <v>18</v>
      </c>
    </row>
    <row r="142" spans="1:11" x14ac:dyDescent="0.5">
      <c r="A142" t="s">
        <v>319</v>
      </c>
      <c r="B142" t="s">
        <v>2817</v>
      </c>
      <c r="C142" t="s">
        <v>320</v>
      </c>
      <c r="D142" s="1">
        <v>1.12E-2</v>
      </c>
      <c r="E142">
        <v>39.1</v>
      </c>
      <c r="F142" t="s">
        <v>14</v>
      </c>
      <c r="G142" t="s">
        <v>15</v>
      </c>
      <c r="H142" t="s">
        <v>16</v>
      </c>
      <c r="I142">
        <v>100</v>
      </c>
      <c r="J142" t="s">
        <v>53</v>
      </c>
      <c r="K142" t="s">
        <v>18</v>
      </c>
    </row>
    <row r="143" spans="1:11" x14ac:dyDescent="0.5">
      <c r="A143" t="s">
        <v>321</v>
      </c>
      <c r="B143" t="s">
        <v>2817</v>
      </c>
      <c r="C143" t="s">
        <v>322</v>
      </c>
      <c r="D143" s="1">
        <v>1.0999999999999999E-2</v>
      </c>
      <c r="E143">
        <v>38.9</v>
      </c>
      <c r="F143" t="s">
        <v>14</v>
      </c>
      <c r="G143" t="s">
        <v>15</v>
      </c>
      <c r="H143" t="s">
        <v>16</v>
      </c>
      <c r="I143">
        <v>100</v>
      </c>
      <c r="J143" t="s">
        <v>53</v>
      </c>
      <c r="K143" t="s">
        <v>18</v>
      </c>
    </row>
    <row r="144" spans="1:11" x14ac:dyDescent="0.5">
      <c r="A144" t="s">
        <v>323</v>
      </c>
      <c r="B144" t="s">
        <v>2817</v>
      </c>
      <c r="C144" t="s">
        <v>324</v>
      </c>
      <c r="D144" s="1">
        <v>1.23E-2</v>
      </c>
      <c r="E144">
        <v>38.700000000000003</v>
      </c>
      <c r="F144" t="s">
        <v>14</v>
      </c>
      <c r="G144" t="s">
        <v>15</v>
      </c>
      <c r="H144" t="s">
        <v>16</v>
      </c>
      <c r="I144">
        <v>100</v>
      </c>
      <c r="J144" t="s">
        <v>53</v>
      </c>
      <c r="K144" t="s">
        <v>18</v>
      </c>
    </row>
    <row r="145" spans="1:11" x14ac:dyDescent="0.5">
      <c r="A145" t="s">
        <v>325</v>
      </c>
      <c r="B145" t="s">
        <v>2817</v>
      </c>
      <c r="C145" t="s">
        <v>326</v>
      </c>
      <c r="D145" s="1">
        <v>1.2500000000000001E-2</v>
      </c>
      <c r="E145">
        <v>38.6</v>
      </c>
      <c r="F145" t="s">
        <v>14</v>
      </c>
      <c r="G145" t="s">
        <v>15</v>
      </c>
      <c r="H145" t="s">
        <v>16</v>
      </c>
      <c r="I145">
        <v>100</v>
      </c>
      <c r="J145" t="s">
        <v>53</v>
      </c>
      <c r="K145" t="s">
        <v>18</v>
      </c>
    </row>
    <row r="146" spans="1:11" x14ac:dyDescent="0.5">
      <c r="A146" t="s">
        <v>327</v>
      </c>
      <c r="B146" t="s">
        <v>2817</v>
      </c>
      <c r="C146" t="s">
        <v>328</v>
      </c>
      <c r="D146" s="1">
        <v>6.1899999999999997E-2</v>
      </c>
      <c r="E146">
        <v>15.6</v>
      </c>
      <c r="F146" t="s">
        <v>14</v>
      </c>
      <c r="G146" t="s">
        <v>15</v>
      </c>
      <c r="H146" t="s">
        <v>16</v>
      </c>
      <c r="I146">
        <v>100</v>
      </c>
      <c r="J146" t="s">
        <v>53</v>
      </c>
      <c r="K146" t="s">
        <v>18</v>
      </c>
    </row>
    <row r="147" spans="1:11" x14ac:dyDescent="0.5">
      <c r="A147" t="s">
        <v>329</v>
      </c>
      <c r="B147" t="s">
        <v>2817</v>
      </c>
      <c r="C147" t="s">
        <v>330</v>
      </c>
      <c r="D147" s="1">
        <v>1.61E-2</v>
      </c>
      <c r="E147">
        <v>38.4</v>
      </c>
      <c r="F147" t="s">
        <v>14</v>
      </c>
      <c r="G147" t="s">
        <v>15</v>
      </c>
      <c r="H147" t="s">
        <v>16</v>
      </c>
      <c r="I147">
        <v>100</v>
      </c>
      <c r="J147" t="s">
        <v>53</v>
      </c>
      <c r="K147" t="s">
        <v>18</v>
      </c>
    </row>
    <row r="148" spans="1:11" x14ac:dyDescent="0.5">
      <c r="A148" t="s">
        <v>331</v>
      </c>
      <c r="B148" t="s">
        <v>2817</v>
      </c>
      <c r="C148" t="s">
        <v>332</v>
      </c>
      <c r="D148" s="1">
        <v>1.0200000000000001E-2</v>
      </c>
      <c r="E148">
        <v>37.5</v>
      </c>
      <c r="F148" t="s">
        <v>14</v>
      </c>
      <c r="G148" t="s">
        <v>15</v>
      </c>
      <c r="H148" t="s">
        <v>16</v>
      </c>
      <c r="I148">
        <v>100</v>
      </c>
      <c r="J148" t="s">
        <v>53</v>
      </c>
      <c r="K148" t="s">
        <v>18</v>
      </c>
    </row>
    <row r="149" spans="1:11" x14ac:dyDescent="0.5">
      <c r="A149" t="s">
        <v>333</v>
      </c>
      <c r="B149" t="s">
        <v>2817</v>
      </c>
      <c r="C149" t="s">
        <v>334</v>
      </c>
      <c r="D149" s="1">
        <v>2.58E-2</v>
      </c>
      <c r="E149">
        <v>28.6</v>
      </c>
      <c r="F149" t="s">
        <v>14</v>
      </c>
      <c r="G149" t="s">
        <v>15</v>
      </c>
      <c r="H149" t="s">
        <v>16</v>
      </c>
      <c r="I149">
        <v>80.430000000000007</v>
      </c>
      <c r="J149" t="s">
        <v>53</v>
      </c>
      <c r="K149" t="s">
        <v>18</v>
      </c>
    </row>
    <row r="150" spans="1:11" x14ac:dyDescent="0.5">
      <c r="A150" t="s">
        <v>335</v>
      </c>
      <c r="B150" t="s">
        <v>2817</v>
      </c>
      <c r="C150" t="s">
        <v>336</v>
      </c>
      <c r="D150" s="1">
        <v>2.5399999999999999E-2</v>
      </c>
      <c r="E150">
        <v>14.6</v>
      </c>
      <c r="F150" t="s">
        <v>14</v>
      </c>
      <c r="G150" t="s">
        <v>15</v>
      </c>
      <c r="H150" t="s">
        <v>16</v>
      </c>
      <c r="I150">
        <v>100</v>
      </c>
      <c r="J150" t="s">
        <v>53</v>
      </c>
      <c r="K150" t="s">
        <v>18</v>
      </c>
    </row>
    <row r="151" spans="1:11" x14ac:dyDescent="0.5">
      <c r="A151" t="s">
        <v>337</v>
      </c>
      <c r="B151" t="s">
        <v>2817</v>
      </c>
      <c r="C151" t="s">
        <v>338</v>
      </c>
      <c r="D151" s="1">
        <v>7.3000000000000001E-3</v>
      </c>
      <c r="E151">
        <v>37.4</v>
      </c>
      <c r="F151" t="s">
        <v>14</v>
      </c>
      <c r="G151" t="s">
        <v>15</v>
      </c>
      <c r="H151" t="s">
        <v>16</v>
      </c>
      <c r="I151">
        <v>100</v>
      </c>
      <c r="J151" t="s">
        <v>53</v>
      </c>
      <c r="K151" t="s">
        <v>18</v>
      </c>
    </row>
    <row r="152" spans="1:11" x14ac:dyDescent="0.5">
      <c r="A152" t="s">
        <v>339</v>
      </c>
      <c r="B152" t="s">
        <v>2817</v>
      </c>
      <c r="C152" t="s">
        <v>340</v>
      </c>
      <c r="D152" s="1">
        <v>1.0500000000000001E-2</v>
      </c>
      <c r="E152">
        <v>37.200000000000003</v>
      </c>
      <c r="F152" t="s">
        <v>14</v>
      </c>
      <c r="G152" t="s">
        <v>15</v>
      </c>
      <c r="H152" t="s">
        <v>16</v>
      </c>
      <c r="I152">
        <v>100</v>
      </c>
      <c r="J152" t="s">
        <v>53</v>
      </c>
      <c r="K152" t="s">
        <v>18</v>
      </c>
    </row>
    <row r="153" spans="1:11" x14ac:dyDescent="0.5">
      <c r="A153" t="s">
        <v>341</v>
      </c>
      <c r="B153" t="s">
        <v>2817</v>
      </c>
      <c r="C153" t="s">
        <v>342</v>
      </c>
      <c r="D153" s="1">
        <v>9.1000000000000004E-3</v>
      </c>
      <c r="E153">
        <v>36.4</v>
      </c>
      <c r="F153" t="s">
        <v>14</v>
      </c>
      <c r="G153" t="s">
        <v>15</v>
      </c>
      <c r="H153" t="s">
        <v>16</v>
      </c>
      <c r="I153">
        <v>100</v>
      </c>
      <c r="J153" t="s">
        <v>53</v>
      </c>
      <c r="K153" t="s">
        <v>18</v>
      </c>
    </row>
    <row r="154" spans="1:11" x14ac:dyDescent="0.5">
      <c r="A154" t="s">
        <v>343</v>
      </c>
      <c r="B154" t="s">
        <v>2817</v>
      </c>
      <c r="C154" t="s">
        <v>344</v>
      </c>
      <c r="D154" s="1">
        <v>6.1000000000000004E-3</v>
      </c>
      <c r="E154">
        <v>36.299999999999997</v>
      </c>
      <c r="F154" t="s">
        <v>14</v>
      </c>
      <c r="G154" t="s">
        <v>15</v>
      </c>
      <c r="H154" t="s">
        <v>16</v>
      </c>
      <c r="I154">
        <v>100</v>
      </c>
      <c r="J154" t="s">
        <v>53</v>
      </c>
      <c r="K154" t="s">
        <v>18</v>
      </c>
    </row>
    <row r="155" spans="1:11" x14ac:dyDescent="0.5">
      <c r="A155" t="s">
        <v>345</v>
      </c>
      <c r="B155" t="s">
        <v>2817</v>
      </c>
      <c r="C155" t="s">
        <v>346</v>
      </c>
      <c r="D155" s="1">
        <v>1.77E-2</v>
      </c>
      <c r="E155">
        <v>36.1</v>
      </c>
      <c r="F155" t="s">
        <v>14</v>
      </c>
      <c r="G155" t="s">
        <v>15</v>
      </c>
      <c r="H155" t="s">
        <v>16</v>
      </c>
      <c r="I155">
        <v>100</v>
      </c>
      <c r="J155" t="s">
        <v>53</v>
      </c>
      <c r="K155" t="s">
        <v>18</v>
      </c>
    </row>
    <row r="156" spans="1:11" x14ac:dyDescent="0.5">
      <c r="A156" t="s">
        <v>347</v>
      </c>
      <c r="B156" t="s">
        <v>2817</v>
      </c>
      <c r="C156" t="s">
        <v>348</v>
      </c>
      <c r="D156" t="s">
        <v>28</v>
      </c>
      <c r="E156">
        <v>36</v>
      </c>
      <c r="F156" t="s">
        <v>14</v>
      </c>
      <c r="G156" t="s">
        <v>15</v>
      </c>
      <c r="H156" t="s">
        <v>16</v>
      </c>
      <c r="I156">
        <v>100</v>
      </c>
      <c r="J156" t="s">
        <v>53</v>
      </c>
      <c r="K156" t="s">
        <v>18</v>
      </c>
    </row>
    <row r="157" spans="1:11" x14ac:dyDescent="0.5">
      <c r="A157" t="s">
        <v>349</v>
      </c>
      <c r="B157" t="s">
        <v>2817</v>
      </c>
      <c r="C157" t="s">
        <v>350</v>
      </c>
      <c r="D157" s="1">
        <v>1.2699999999999999E-2</v>
      </c>
      <c r="E157">
        <v>35.6</v>
      </c>
      <c r="F157" t="s">
        <v>14</v>
      </c>
      <c r="G157" t="s">
        <v>15</v>
      </c>
      <c r="H157" t="s">
        <v>16</v>
      </c>
      <c r="I157">
        <v>100</v>
      </c>
      <c r="J157" t="s">
        <v>53</v>
      </c>
      <c r="K157" t="s">
        <v>18</v>
      </c>
    </row>
    <row r="158" spans="1:11" x14ac:dyDescent="0.5">
      <c r="A158" t="s">
        <v>351</v>
      </c>
      <c r="B158" t="s">
        <v>2817</v>
      </c>
      <c r="C158" t="s">
        <v>352</v>
      </c>
      <c r="D158" s="1">
        <v>1.09E-2</v>
      </c>
      <c r="E158">
        <v>35.4</v>
      </c>
      <c r="F158" t="s">
        <v>14</v>
      </c>
      <c r="G158" t="s">
        <v>15</v>
      </c>
      <c r="H158" t="s">
        <v>16</v>
      </c>
      <c r="I158">
        <v>100</v>
      </c>
      <c r="J158" t="s">
        <v>53</v>
      </c>
      <c r="K158" t="s">
        <v>18</v>
      </c>
    </row>
    <row r="159" spans="1:11" x14ac:dyDescent="0.5">
      <c r="A159" t="s">
        <v>353</v>
      </c>
      <c r="B159" t="s">
        <v>2817</v>
      </c>
      <c r="C159" t="s">
        <v>354</v>
      </c>
      <c r="D159" s="1">
        <v>1.67E-2</v>
      </c>
      <c r="E159">
        <v>35.4</v>
      </c>
      <c r="F159" t="s">
        <v>14</v>
      </c>
      <c r="G159" t="s">
        <v>15</v>
      </c>
      <c r="H159" t="s">
        <v>16</v>
      </c>
      <c r="I159">
        <v>100</v>
      </c>
      <c r="J159" t="s">
        <v>53</v>
      </c>
      <c r="K159" t="s">
        <v>18</v>
      </c>
    </row>
    <row r="160" spans="1:11" x14ac:dyDescent="0.5">
      <c r="A160" t="s">
        <v>355</v>
      </c>
      <c r="B160" t="s">
        <v>2817</v>
      </c>
      <c r="C160" t="s">
        <v>356</v>
      </c>
      <c r="D160" s="1">
        <v>1.4800000000000001E-2</v>
      </c>
      <c r="E160">
        <v>34.6</v>
      </c>
      <c r="F160" t="s">
        <v>14</v>
      </c>
      <c r="G160" t="s">
        <v>15</v>
      </c>
      <c r="H160" t="s">
        <v>16</v>
      </c>
      <c r="I160">
        <v>100</v>
      </c>
      <c r="J160" t="s">
        <v>53</v>
      </c>
      <c r="K160" t="s">
        <v>18</v>
      </c>
    </row>
    <row r="161" spans="1:11" x14ac:dyDescent="0.5">
      <c r="A161" t="s">
        <v>357</v>
      </c>
      <c r="B161" t="s">
        <v>2817</v>
      </c>
      <c r="C161" t="s">
        <v>358</v>
      </c>
      <c r="D161" s="1">
        <v>4.4499999999999998E-2</v>
      </c>
      <c r="E161">
        <v>22</v>
      </c>
      <c r="F161" t="s">
        <v>14</v>
      </c>
      <c r="G161" t="s">
        <v>15</v>
      </c>
      <c r="H161" t="s">
        <v>16</v>
      </c>
      <c r="I161">
        <v>85.15</v>
      </c>
      <c r="J161" t="s">
        <v>53</v>
      </c>
      <c r="K161" t="s">
        <v>18</v>
      </c>
    </row>
    <row r="162" spans="1:11" x14ac:dyDescent="0.5">
      <c r="A162" t="s">
        <v>359</v>
      </c>
      <c r="B162" t="s">
        <v>2817</v>
      </c>
      <c r="C162" t="s">
        <v>360</v>
      </c>
      <c r="D162" s="1">
        <v>2.3599999999999999E-2</v>
      </c>
      <c r="E162">
        <v>26.8</v>
      </c>
      <c r="F162" t="s">
        <v>14</v>
      </c>
      <c r="G162" t="s">
        <v>16</v>
      </c>
      <c r="H162" t="s">
        <v>16</v>
      </c>
      <c r="I162">
        <v>78.25</v>
      </c>
      <c r="J162" t="s">
        <v>53</v>
      </c>
      <c r="K162" t="s">
        <v>18</v>
      </c>
    </row>
    <row r="163" spans="1:11" x14ac:dyDescent="0.5">
      <c r="A163" t="s">
        <v>361</v>
      </c>
      <c r="B163" t="s">
        <v>2817</v>
      </c>
      <c r="C163" t="s">
        <v>362</v>
      </c>
      <c r="D163" s="1">
        <v>9.2999999999999992E-3</v>
      </c>
      <c r="E163">
        <v>33.4</v>
      </c>
      <c r="F163" t="s">
        <v>14</v>
      </c>
      <c r="G163" t="s">
        <v>15</v>
      </c>
      <c r="H163" t="s">
        <v>16</v>
      </c>
      <c r="I163">
        <v>100</v>
      </c>
      <c r="J163" t="s">
        <v>53</v>
      </c>
      <c r="K163" t="s">
        <v>18</v>
      </c>
    </row>
    <row r="164" spans="1:11" x14ac:dyDescent="0.5">
      <c r="A164" t="s">
        <v>363</v>
      </c>
      <c r="B164" t="s">
        <v>2817</v>
      </c>
      <c r="C164" t="s">
        <v>364</v>
      </c>
      <c r="D164" s="1">
        <v>5.4999999999999997E-3</v>
      </c>
      <c r="E164">
        <v>33.4</v>
      </c>
      <c r="F164" t="s">
        <v>14</v>
      </c>
      <c r="G164" t="s">
        <v>15</v>
      </c>
      <c r="H164" t="s">
        <v>16</v>
      </c>
      <c r="I164">
        <v>100</v>
      </c>
      <c r="J164" t="s">
        <v>53</v>
      </c>
      <c r="K164" t="s">
        <v>18</v>
      </c>
    </row>
    <row r="165" spans="1:11" x14ac:dyDescent="0.5">
      <c r="A165" t="s">
        <v>365</v>
      </c>
      <c r="B165" t="s">
        <v>2817</v>
      </c>
      <c r="C165" t="s">
        <v>366</v>
      </c>
      <c r="D165" t="s">
        <v>28</v>
      </c>
      <c r="E165">
        <v>32.9</v>
      </c>
      <c r="F165" t="s">
        <v>14</v>
      </c>
      <c r="G165" t="s">
        <v>15</v>
      </c>
      <c r="H165" t="s">
        <v>16</v>
      </c>
      <c r="I165">
        <v>100</v>
      </c>
      <c r="J165" t="s">
        <v>53</v>
      </c>
      <c r="K165" t="s">
        <v>18</v>
      </c>
    </row>
    <row r="166" spans="1:11" x14ac:dyDescent="0.5">
      <c r="A166" t="s">
        <v>367</v>
      </c>
      <c r="B166" t="s">
        <v>2817</v>
      </c>
      <c r="C166" t="s">
        <v>368</v>
      </c>
      <c r="D166" s="1">
        <v>2.46E-2</v>
      </c>
      <c r="E166">
        <v>25.4</v>
      </c>
      <c r="F166" t="s">
        <v>14</v>
      </c>
      <c r="G166" t="s">
        <v>15</v>
      </c>
      <c r="H166" t="s">
        <v>16</v>
      </c>
      <c r="I166">
        <v>77.209999999999994</v>
      </c>
      <c r="J166" t="s">
        <v>53</v>
      </c>
      <c r="K166" t="s">
        <v>18</v>
      </c>
    </row>
    <row r="167" spans="1:11" x14ac:dyDescent="0.5">
      <c r="A167" t="s">
        <v>369</v>
      </c>
      <c r="B167" t="s">
        <v>2817</v>
      </c>
      <c r="C167" t="s">
        <v>370</v>
      </c>
      <c r="D167" s="1">
        <v>1.2699999999999999E-2</v>
      </c>
      <c r="E167">
        <v>31.9</v>
      </c>
      <c r="F167" t="s">
        <v>14</v>
      </c>
      <c r="G167" t="s">
        <v>15</v>
      </c>
      <c r="H167" t="s">
        <v>16</v>
      </c>
      <c r="I167">
        <v>100</v>
      </c>
      <c r="J167" t="s">
        <v>53</v>
      </c>
      <c r="K167" t="s">
        <v>18</v>
      </c>
    </row>
    <row r="168" spans="1:11" x14ac:dyDescent="0.5">
      <c r="A168" t="s">
        <v>371</v>
      </c>
      <c r="B168" t="s">
        <v>2817</v>
      </c>
      <c r="C168" t="s">
        <v>372</v>
      </c>
      <c r="D168" s="1">
        <v>1.34E-2</v>
      </c>
      <c r="E168">
        <v>31.9</v>
      </c>
      <c r="F168" t="s">
        <v>14</v>
      </c>
      <c r="G168" t="s">
        <v>15</v>
      </c>
      <c r="H168" t="s">
        <v>16</v>
      </c>
      <c r="I168">
        <v>100</v>
      </c>
      <c r="J168" t="s">
        <v>53</v>
      </c>
      <c r="K168" t="s">
        <v>18</v>
      </c>
    </row>
    <row r="169" spans="1:11" x14ac:dyDescent="0.5">
      <c r="A169" t="s">
        <v>373</v>
      </c>
      <c r="B169" t="s">
        <v>2817</v>
      </c>
      <c r="C169" t="s">
        <v>374</v>
      </c>
      <c r="D169" t="s">
        <v>28</v>
      </c>
      <c r="E169">
        <v>60.5</v>
      </c>
      <c r="F169" t="s">
        <v>14</v>
      </c>
      <c r="G169" t="s">
        <v>16</v>
      </c>
      <c r="H169" t="s">
        <v>16</v>
      </c>
      <c r="I169">
        <v>59.7</v>
      </c>
      <c r="J169" t="s">
        <v>53</v>
      </c>
      <c r="K169" t="s">
        <v>18</v>
      </c>
    </row>
    <row r="170" spans="1:11" x14ac:dyDescent="0.5">
      <c r="A170" t="s">
        <v>375</v>
      </c>
      <c r="B170" t="s">
        <v>2817</v>
      </c>
      <c r="C170" t="s">
        <v>376</v>
      </c>
      <c r="D170" t="s">
        <v>28</v>
      </c>
      <c r="E170">
        <v>31.1</v>
      </c>
      <c r="F170" t="s">
        <v>14</v>
      </c>
      <c r="G170" t="s">
        <v>15</v>
      </c>
      <c r="H170" t="s">
        <v>16</v>
      </c>
      <c r="I170">
        <v>100</v>
      </c>
      <c r="J170" t="s">
        <v>53</v>
      </c>
      <c r="K170" t="s">
        <v>18</v>
      </c>
    </row>
    <row r="171" spans="1:11" x14ac:dyDescent="0.5">
      <c r="A171" t="s">
        <v>377</v>
      </c>
      <c r="B171" t="s">
        <v>2817</v>
      </c>
      <c r="C171" t="s">
        <v>378</v>
      </c>
      <c r="D171" s="1">
        <v>3.4200000000000001E-2</v>
      </c>
      <c r="E171">
        <v>22.3</v>
      </c>
      <c r="F171" t="s">
        <v>14</v>
      </c>
      <c r="G171" t="s">
        <v>16</v>
      </c>
      <c r="H171" t="s">
        <v>16</v>
      </c>
      <c r="I171">
        <v>80.25</v>
      </c>
      <c r="J171" t="s">
        <v>53</v>
      </c>
      <c r="K171" t="s">
        <v>18</v>
      </c>
    </row>
    <row r="172" spans="1:11" x14ac:dyDescent="0.5">
      <c r="A172" t="s">
        <v>379</v>
      </c>
      <c r="B172" t="s">
        <v>2817</v>
      </c>
      <c r="C172" t="s">
        <v>380</v>
      </c>
      <c r="D172" s="1">
        <v>4.3700000000000003E-2</v>
      </c>
      <c r="E172">
        <v>20.399999999999999</v>
      </c>
      <c r="F172" t="s">
        <v>14</v>
      </c>
      <c r="G172" t="s">
        <v>15</v>
      </c>
      <c r="H172" t="s">
        <v>16</v>
      </c>
      <c r="I172">
        <v>82.49</v>
      </c>
      <c r="J172" t="s">
        <v>53</v>
      </c>
      <c r="K172" t="s">
        <v>18</v>
      </c>
    </row>
    <row r="173" spans="1:11" x14ac:dyDescent="0.5">
      <c r="A173" t="s">
        <v>381</v>
      </c>
      <c r="B173" t="s">
        <v>2817</v>
      </c>
      <c r="C173" t="s">
        <v>382</v>
      </c>
      <c r="D173" s="1">
        <v>4.6800000000000001E-2</v>
      </c>
      <c r="E173">
        <v>19.5</v>
      </c>
      <c r="F173" t="s">
        <v>14</v>
      </c>
      <c r="G173" t="s">
        <v>15</v>
      </c>
      <c r="H173" t="s">
        <v>16</v>
      </c>
      <c r="I173">
        <v>83.58</v>
      </c>
      <c r="J173" t="s">
        <v>53</v>
      </c>
      <c r="K173" t="s">
        <v>18</v>
      </c>
    </row>
    <row r="174" spans="1:11" x14ac:dyDescent="0.5">
      <c r="A174" t="s">
        <v>383</v>
      </c>
      <c r="B174" t="s">
        <v>2817</v>
      </c>
      <c r="C174" t="s">
        <v>384</v>
      </c>
      <c r="D174" t="s">
        <v>28</v>
      </c>
      <c r="E174">
        <v>30.5</v>
      </c>
      <c r="F174" t="s">
        <v>14</v>
      </c>
      <c r="G174" t="s">
        <v>15</v>
      </c>
      <c r="H174" t="s">
        <v>16</v>
      </c>
      <c r="I174">
        <v>100</v>
      </c>
      <c r="J174" t="s">
        <v>53</v>
      </c>
      <c r="K174" t="s">
        <v>18</v>
      </c>
    </row>
    <row r="175" spans="1:11" x14ac:dyDescent="0.5">
      <c r="A175" t="s">
        <v>385</v>
      </c>
      <c r="B175" t="s">
        <v>2817</v>
      </c>
      <c r="C175" t="s">
        <v>386</v>
      </c>
      <c r="D175" s="1">
        <v>3.3E-3</v>
      </c>
      <c r="E175">
        <v>30.1</v>
      </c>
      <c r="F175" t="s">
        <v>14</v>
      </c>
      <c r="G175" t="s">
        <v>15</v>
      </c>
      <c r="H175" t="s">
        <v>16</v>
      </c>
      <c r="I175">
        <v>100</v>
      </c>
      <c r="J175" t="s">
        <v>53</v>
      </c>
      <c r="K175" t="s">
        <v>18</v>
      </c>
    </row>
    <row r="176" spans="1:11" x14ac:dyDescent="0.5">
      <c r="A176" t="s">
        <v>387</v>
      </c>
      <c r="B176" t="s">
        <v>2817</v>
      </c>
      <c r="C176" t="s">
        <v>388</v>
      </c>
      <c r="D176" s="1">
        <v>9.1000000000000004E-3</v>
      </c>
      <c r="E176">
        <v>29</v>
      </c>
      <c r="F176" t="s">
        <v>14</v>
      </c>
      <c r="G176" t="s">
        <v>15</v>
      </c>
      <c r="H176" t="s">
        <v>16</v>
      </c>
      <c r="I176">
        <v>100</v>
      </c>
      <c r="J176" t="s">
        <v>53</v>
      </c>
      <c r="K176" t="s">
        <v>18</v>
      </c>
    </row>
    <row r="177" spans="1:11" x14ac:dyDescent="0.5">
      <c r="A177" t="s">
        <v>389</v>
      </c>
      <c r="B177" t="s">
        <v>2817</v>
      </c>
      <c r="C177" t="s">
        <v>390</v>
      </c>
      <c r="D177" s="1">
        <v>8.9999999999999998E-4</v>
      </c>
      <c r="E177">
        <v>28.6</v>
      </c>
      <c r="F177" t="s">
        <v>14</v>
      </c>
      <c r="G177" t="s">
        <v>15</v>
      </c>
      <c r="H177" t="s">
        <v>16</v>
      </c>
      <c r="I177">
        <v>100</v>
      </c>
      <c r="J177" t="s">
        <v>53</v>
      </c>
      <c r="K177" t="s">
        <v>18</v>
      </c>
    </row>
    <row r="178" spans="1:11" x14ac:dyDescent="0.5">
      <c r="A178" t="s">
        <v>391</v>
      </c>
      <c r="B178" t="s">
        <v>2817</v>
      </c>
      <c r="C178" t="s">
        <v>392</v>
      </c>
      <c r="D178" s="1">
        <v>3.5000000000000003E-2</v>
      </c>
      <c r="E178">
        <v>28.8</v>
      </c>
      <c r="F178" t="s">
        <v>14</v>
      </c>
      <c r="G178" t="s">
        <v>16</v>
      </c>
      <c r="H178" t="s">
        <v>16</v>
      </c>
      <c r="I178">
        <v>67.64</v>
      </c>
      <c r="J178" t="s">
        <v>53</v>
      </c>
      <c r="K178" t="s">
        <v>18</v>
      </c>
    </row>
    <row r="179" spans="1:11" x14ac:dyDescent="0.5">
      <c r="A179" t="s">
        <v>393</v>
      </c>
      <c r="B179" t="s">
        <v>2817</v>
      </c>
      <c r="C179" t="s">
        <v>394</v>
      </c>
      <c r="D179" s="1">
        <v>7.4000000000000003E-3</v>
      </c>
      <c r="E179">
        <v>28.5</v>
      </c>
      <c r="F179" t="s">
        <v>14</v>
      </c>
      <c r="G179" t="s">
        <v>15</v>
      </c>
      <c r="H179" t="s">
        <v>16</v>
      </c>
      <c r="I179">
        <v>100</v>
      </c>
      <c r="J179" t="s">
        <v>53</v>
      </c>
      <c r="K179" t="s">
        <v>18</v>
      </c>
    </row>
    <row r="180" spans="1:11" x14ac:dyDescent="0.5">
      <c r="A180" t="s">
        <v>395</v>
      </c>
      <c r="B180" t="s">
        <v>2817</v>
      </c>
      <c r="C180" t="s">
        <v>396</v>
      </c>
      <c r="D180" s="1">
        <v>3.5999999999999997E-2</v>
      </c>
      <c r="E180">
        <v>33.6</v>
      </c>
      <c r="F180" t="s">
        <v>14</v>
      </c>
      <c r="G180" t="s">
        <v>16</v>
      </c>
      <c r="H180" t="s">
        <v>16</v>
      </c>
      <c r="I180">
        <v>60.15</v>
      </c>
      <c r="J180" t="s">
        <v>53</v>
      </c>
      <c r="K180" t="s">
        <v>18</v>
      </c>
    </row>
    <row r="181" spans="1:11" x14ac:dyDescent="0.5">
      <c r="A181" t="s">
        <v>397</v>
      </c>
      <c r="B181" t="s">
        <v>2817</v>
      </c>
      <c r="C181" t="s">
        <v>398</v>
      </c>
      <c r="D181" s="1">
        <v>1E-3</v>
      </c>
      <c r="E181">
        <v>27.9</v>
      </c>
      <c r="F181" t="s">
        <v>14</v>
      </c>
      <c r="G181" t="s">
        <v>15</v>
      </c>
      <c r="H181" t="s">
        <v>16</v>
      </c>
      <c r="I181">
        <v>100</v>
      </c>
      <c r="J181" t="s">
        <v>53</v>
      </c>
      <c r="K181" t="s">
        <v>18</v>
      </c>
    </row>
    <row r="182" spans="1:11" x14ac:dyDescent="0.5">
      <c r="A182" t="s">
        <v>399</v>
      </c>
      <c r="B182" t="s">
        <v>2817</v>
      </c>
      <c r="C182" t="s">
        <v>400</v>
      </c>
      <c r="D182" s="1">
        <v>1.23E-2</v>
      </c>
      <c r="E182">
        <v>26.8</v>
      </c>
      <c r="F182" t="s">
        <v>14</v>
      </c>
      <c r="G182" t="s">
        <v>15</v>
      </c>
      <c r="H182" t="s">
        <v>16</v>
      </c>
      <c r="I182">
        <v>100</v>
      </c>
      <c r="J182" t="s">
        <v>53</v>
      </c>
      <c r="K182" t="s">
        <v>18</v>
      </c>
    </row>
    <row r="183" spans="1:11" x14ac:dyDescent="0.5">
      <c r="A183" t="s">
        <v>401</v>
      </c>
      <c r="B183" t="s">
        <v>2817</v>
      </c>
      <c r="C183" t="s">
        <v>402</v>
      </c>
      <c r="D183" t="s">
        <v>28</v>
      </c>
      <c r="E183">
        <v>39.200000000000003</v>
      </c>
      <c r="F183" t="s">
        <v>14</v>
      </c>
      <c r="G183" t="s">
        <v>15</v>
      </c>
      <c r="H183" t="s">
        <v>16</v>
      </c>
      <c r="I183">
        <v>80.040000000000006</v>
      </c>
      <c r="J183" t="s">
        <v>53</v>
      </c>
      <c r="K183" t="s">
        <v>18</v>
      </c>
    </row>
    <row r="184" spans="1:11" x14ac:dyDescent="0.5">
      <c r="A184" t="s">
        <v>403</v>
      </c>
      <c r="B184" t="s">
        <v>2817</v>
      </c>
      <c r="C184" t="s">
        <v>404</v>
      </c>
      <c r="D184" s="1">
        <v>9.7000000000000003E-3</v>
      </c>
      <c r="E184">
        <v>33.299999999999997</v>
      </c>
      <c r="F184" t="s">
        <v>14</v>
      </c>
      <c r="G184" t="s">
        <v>15</v>
      </c>
      <c r="H184" t="s">
        <v>16</v>
      </c>
      <c r="I184">
        <v>87.66</v>
      </c>
      <c r="J184" t="s">
        <v>53</v>
      </c>
      <c r="K184" t="s">
        <v>18</v>
      </c>
    </row>
    <row r="185" spans="1:11" x14ac:dyDescent="0.5">
      <c r="A185" t="s">
        <v>405</v>
      </c>
      <c r="B185" t="s">
        <v>2817</v>
      </c>
      <c r="C185" t="s">
        <v>406</v>
      </c>
      <c r="D185" t="s">
        <v>28</v>
      </c>
      <c r="E185">
        <v>52.3</v>
      </c>
      <c r="F185" t="s">
        <v>14</v>
      </c>
      <c r="G185" t="s">
        <v>16</v>
      </c>
      <c r="H185" t="s">
        <v>16</v>
      </c>
      <c r="I185">
        <v>60.85</v>
      </c>
      <c r="J185" t="s">
        <v>53</v>
      </c>
      <c r="K185" t="s">
        <v>18</v>
      </c>
    </row>
    <row r="186" spans="1:11" x14ac:dyDescent="0.5">
      <c r="A186" t="s">
        <v>407</v>
      </c>
      <c r="B186" t="s">
        <v>2817</v>
      </c>
      <c r="C186" t="s">
        <v>408</v>
      </c>
      <c r="D186" t="s">
        <v>28</v>
      </c>
      <c r="E186">
        <v>23.5</v>
      </c>
      <c r="F186" t="s">
        <v>14</v>
      </c>
      <c r="G186" t="s">
        <v>15</v>
      </c>
      <c r="H186" t="s">
        <v>16</v>
      </c>
      <c r="I186">
        <v>100</v>
      </c>
      <c r="J186" t="s">
        <v>53</v>
      </c>
      <c r="K186" t="s">
        <v>18</v>
      </c>
    </row>
    <row r="187" spans="1:11" x14ac:dyDescent="0.5">
      <c r="A187" t="s">
        <v>409</v>
      </c>
      <c r="B187" t="s">
        <v>2817</v>
      </c>
      <c r="C187" t="s">
        <v>410</v>
      </c>
      <c r="D187" t="s">
        <v>28</v>
      </c>
      <c r="E187">
        <v>52.3</v>
      </c>
      <c r="F187" t="s">
        <v>14</v>
      </c>
      <c r="G187" t="s">
        <v>16</v>
      </c>
      <c r="H187" t="s">
        <v>16</v>
      </c>
      <c r="I187">
        <v>59.64</v>
      </c>
      <c r="J187" t="s">
        <v>53</v>
      </c>
      <c r="K187" t="s">
        <v>18</v>
      </c>
    </row>
    <row r="188" spans="1:11" x14ac:dyDescent="0.5">
      <c r="A188" t="s">
        <v>411</v>
      </c>
      <c r="B188" t="s">
        <v>2817</v>
      </c>
      <c r="C188" t="s">
        <v>412</v>
      </c>
      <c r="D188" t="s">
        <v>28</v>
      </c>
      <c r="E188">
        <v>22.4</v>
      </c>
      <c r="F188" t="s">
        <v>14</v>
      </c>
      <c r="G188" t="s">
        <v>15</v>
      </c>
      <c r="H188" t="s">
        <v>16</v>
      </c>
      <c r="I188">
        <v>100</v>
      </c>
      <c r="J188" t="s">
        <v>53</v>
      </c>
      <c r="K188" t="s">
        <v>18</v>
      </c>
    </row>
    <row r="189" spans="1:11" x14ac:dyDescent="0.5">
      <c r="A189" t="s">
        <v>413</v>
      </c>
      <c r="B189" t="s">
        <v>2817</v>
      </c>
      <c r="C189" t="s">
        <v>414</v>
      </c>
      <c r="D189" s="1">
        <v>7.1999999999999998E-3</v>
      </c>
      <c r="E189">
        <v>50.1</v>
      </c>
      <c r="F189" t="s">
        <v>14</v>
      </c>
      <c r="G189" t="s">
        <v>16</v>
      </c>
      <c r="H189" t="s">
        <v>16</v>
      </c>
      <c r="I189">
        <v>60.53</v>
      </c>
      <c r="J189" t="s">
        <v>53</v>
      </c>
      <c r="K189" t="s">
        <v>18</v>
      </c>
    </row>
    <row r="190" spans="1:11" x14ac:dyDescent="0.5">
      <c r="A190" t="s">
        <v>415</v>
      </c>
      <c r="B190" t="s">
        <v>2817</v>
      </c>
      <c r="C190" t="s">
        <v>416</v>
      </c>
      <c r="D190" s="1">
        <v>8.6E-3</v>
      </c>
      <c r="E190">
        <v>29.4</v>
      </c>
      <c r="F190" t="s">
        <v>14</v>
      </c>
      <c r="G190" t="s">
        <v>15</v>
      </c>
      <c r="H190" t="s">
        <v>16</v>
      </c>
      <c r="I190">
        <v>89.11</v>
      </c>
      <c r="J190" t="s">
        <v>53</v>
      </c>
      <c r="K190" t="s">
        <v>18</v>
      </c>
    </row>
    <row r="191" spans="1:11" x14ac:dyDescent="0.5">
      <c r="A191" t="s">
        <v>417</v>
      </c>
      <c r="B191" t="s">
        <v>2817</v>
      </c>
      <c r="C191" t="s">
        <v>418</v>
      </c>
      <c r="D191" s="1">
        <v>3.8399999999999997E-2</v>
      </c>
      <c r="E191">
        <v>24</v>
      </c>
      <c r="F191" t="s">
        <v>14</v>
      </c>
      <c r="G191" t="s">
        <v>16</v>
      </c>
      <c r="H191" t="s">
        <v>16</v>
      </c>
      <c r="I191">
        <v>62.1</v>
      </c>
      <c r="J191" t="s">
        <v>53</v>
      </c>
      <c r="K191" t="s">
        <v>18</v>
      </c>
    </row>
    <row r="192" spans="1:11" x14ac:dyDescent="0.5">
      <c r="A192" t="s">
        <v>419</v>
      </c>
      <c r="B192" t="s">
        <v>2817</v>
      </c>
      <c r="C192" t="s">
        <v>420</v>
      </c>
      <c r="D192" s="1">
        <v>1.12E-2</v>
      </c>
      <c r="E192">
        <v>27.3</v>
      </c>
      <c r="F192" t="s">
        <v>14</v>
      </c>
      <c r="G192" t="s">
        <v>15</v>
      </c>
      <c r="H192" t="s">
        <v>16</v>
      </c>
      <c r="I192">
        <v>89.35</v>
      </c>
      <c r="J192" t="s">
        <v>53</v>
      </c>
      <c r="K192" t="s">
        <v>18</v>
      </c>
    </row>
    <row r="193" spans="1:11" x14ac:dyDescent="0.5">
      <c r="A193" t="s">
        <v>421</v>
      </c>
      <c r="B193" t="s">
        <v>2817</v>
      </c>
      <c r="C193" t="s">
        <v>422</v>
      </c>
      <c r="D193" s="1">
        <v>1.8200000000000001E-2</v>
      </c>
      <c r="E193">
        <v>26.8</v>
      </c>
      <c r="F193" t="s">
        <v>14</v>
      </c>
      <c r="G193" t="s">
        <v>15</v>
      </c>
      <c r="H193" t="s">
        <v>16</v>
      </c>
      <c r="I193">
        <v>90.04</v>
      </c>
      <c r="J193" t="s">
        <v>53</v>
      </c>
      <c r="K193" t="s">
        <v>18</v>
      </c>
    </row>
    <row r="194" spans="1:11" x14ac:dyDescent="0.5">
      <c r="A194" t="s">
        <v>423</v>
      </c>
      <c r="B194" t="s">
        <v>2817</v>
      </c>
      <c r="C194" t="s">
        <v>424</v>
      </c>
      <c r="D194" s="1">
        <v>2.9600000000000001E-2</v>
      </c>
      <c r="E194">
        <v>22.6</v>
      </c>
      <c r="F194" t="s">
        <v>14</v>
      </c>
      <c r="G194" t="s">
        <v>15</v>
      </c>
      <c r="H194" t="s">
        <v>16</v>
      </c>
      <c r="I194">
        <v>63.38</v>
      </c>
      <c r="J194" t="s">
        <v>53</v>
      </c>
      <c r="K194" t="s">
        <v>18</v>
      </c>
    </row>
    <row r="195" spans="1:11" x14ac:dyDescent="0.5">
      <c r="A195" t="s">
        <v>425</v>
      </c>
      <c r="B195" t="s">
        <v>2817</v>
      </c>
      <c r="C195" t="s">
        <v>426</v>
      </c>
      <c r="D195" s="1">
        <v>1.9E-3</v>
      </c>
      <c r="E195">
        <v>38.700000000000003</v>
      </c>
      <c r="F195" t="s">
        <v>14</v>
      </c>
      <c r="G195" t="s">
        <v>16</v>
      </c>
      <c r="H195" t="s">
        <v>16</v>
      </c>
      <c r="I195">
        <v>71.83</v>
      </c>
      <c r="J195" t="s">
        <v>53</v>
      </c>
      <c r="K195" t="s">
        <v>18</v>
      </c>
    </row>
    <row r="196" spans="1:11" x14ac:dyDescent="0.5">
      <c r="A196" t="s">
        <v>427</v>
      </c>
      <c r="B196" t="s">
        <v>2817</v>
      </c>
      <c r="C196" t="s">
        <v>428</v>
      </c>
      <c r="D196" s="1">
        <v>9.4000000000000004E-3</v>
      </c>
      <c r="E196">
        <v>17.899999999999999</v>
      </c>
      <c r="F196" t="s">
        <v>14</v>
      </c>
      <c r="G196" t="s">
        <v>15</v>
      </c>
      <c r="H196" t="s">
        <v>16</v>
      </c>
      <c r="I196">
        <v>100</v>
      </c>
      <c r="J196" t="s">
        <v>53</v>
      </c>
      <c r="K196" t="s">
        <v>18</v>
      </c>
    </row>
    <row r="197" spans="1:11" x14ac:dyDescent="0.5">
      <c r="A197" t="s">
        <v>429</v>
      </c>
      <c r="B197" t="s">
        <v>2817</v>
      </c>
      <c r="C197" t="s">
        <v>430</v>
      </c>
      <c r="D197" s="1">
        <v>7.0999999999999994E-2</v>
      </c>
      <c r="E197">
        <v>11.6</v>
      </c>
      <c r="F197" t="s">
        <v>14</v>
      </c>
      <c r="G197" t="s">
        <v>15</v>
      </c>
      <c r="H197" t="s">
        <v>16</v>
      </c>
      <c r="I197">
        <v>76.14</v>
      </c>
      <c r="J197" t="s">
        <v>53</v>
      </c>
      <c r="K197" t="s">
        <v>18</v>
      </c>
    </row>
    <row r="198" spans="1:11" x14ac:dyDescent="0.5">
      <c r="A198" t="s">
        <v>431</v>
      </c>
      <c r="B198" t="s">
        <v>2817</v>
      </c>
      <c r="C198" t="s">
        <v>432</v>
      </c>
      <c r="D198" t="s">
        <v>28</v>
      </c>
      <c r="E198">
        <v>45.9</v>
      </c>
      <c r="F198" t="s">
        <v>14</v>
      </c>
      <c r="G198" t="s">
        <v>16</v>
      </c>
      <c r="H198" t="s">
        <v>16</v>
      </c>
      <c r="I198">
        <v>59.01</v>
      </c>
      <c r="J198" t="s">
        <v>53</v>
      </c>
      <c r="K198" t="s">
        <v>18</v>
      </c>
    </row>
    <row r="199" spans="1:11" x14ac:dyDescent="0.5">
      <c r="A199" t="s">
        <v>433</v>
      </c>
      <c r="B199" t="s">
        <v>2817</v>
      </c>
      <c r="C199" t="s">
        <v>434</v>
      </c>
      <c r="D199" s="1">
        <v>2.81E-2</v>
      </c>
      <c r="E199">
        <v>21.5</v>
      </c>
      <c r="F199" t="s">
        <v>14</v>
      </c>
      <c r="G199" t="s">
        <v>15</v>
      </c>
      <c r="H199" t="s">
        <v>16</v>
      </c>
      <c r="I199">
        <v>60.27</v>
      </c>
      <c r="J199" t="s">
        <v>53</v>
      </c>
      <c r="K199" t="s">
        <v>18</v>
      </c>
    </row>
    <row r="200" spans="1:11" x14ac:dyDescent="0.5">
      <c r="A200" t="s">
        <v>435</v>
      </c>
      <c r="B200" t="s">
        <v>2817</v>
      </c>
      <c r="C200" t="s">
        <v>436</v>
      </c>
      <c r="D200" s="1">
        <v>1.0200000000000001E-2</v>
      </c>
      <c r="E200">
        <v>14.2</v>
      </c>
      <c r="F200" t="s">
        <v>14</v>
      </c>
      <c r="G200" t="s">
        <v>15</v>
      </c>
      <c r="H200" t="s">
        <v>16</v>
      </c>
      <c r="I200">
        <v>100</v>
      </c>
      <c r="J200" t="s">
        <v>53</v>
      </c>
      <c r="K200" t="s">
        <v>18</v>
      </c>
    </row>
    <row r="201" spans="1:11" x14ac:dyDescent="0.5">
      <c r="A201" t="s">
        <v>437</v>
      </c>
      <c r="B201" t="s">
        <v>2817</v>
      </c>
      <c r="C201" t="s">
        <v>438</v>
      </c>
      <c r="D201" s="1">
        <v>4.0399999999999998E-2</v>
      </c>
      <c r="E201">
        <v>22.9</v>
      </c>
      <c r="F201" t="s">
        <v>14</v>
      </c>
      <c r="G201" t="s">
        <v>16</v>
      </c>
      <c r="H201" t="s">
        <v>16</v>
      </c>
      <c r="I201">
        <v>53.47</v>
      </c>
      <c r="J201" t="s">
        <v>53</v>
      </c>
      <c r="K201" t="s">
        <v>18</v>
      </c>
    </row>
    <row r="202" spans="1:11" x14ac:dyDescent="0.5">
      <c r="A202" t="s">
        <v>439</v>
      </c>
      <c r="B202" t="s">
        <v>2817</v>
      </c>
      <c r="C202" t="s">
        <v>440</v>
      </c>
      <c r="D202" s="1">
        <v>1.7899999999999999E-2</v>
      </c>
      <c r="E202">
        <v>30.9</v>
      </c>
      <c r="F202" t="s">
        <v>14</v>
      </c>
      <c r="G202" t="s">
        <v>16</v>
      </c>
      <c r="H202" t="s">
        <v>16</v>
      </c>
      <c r="I202">
        <v>72.75</v>
      </c>
      <c r="J202" t="s">
        <v>53</v>
      </c>
      <c r="K202" t="s">
        <v>18</v>
      </c>
    </row>
    <row r="203" spans="1:11" x14ac:dyDescent="0.5">
      <c r="A203" t="s">
        <v>441</v>
      </c>
      <c r="B203" t="s">
        <v>2817</v>
      </c>
      <c r="C203" t="s">
        <v>442</v>
      </c>
      <c r="D203" s="1">
        <v>4.4000000000000003E-3</v>
      </c>
      <c r="E203">
        <v>21.9</v>
      </c>
      <c r="F203" t="s">
        <v>14</v>
      </c>
      <c r="G203" t="s">
        <v>15</v>
      </c>
      <c r="H203" t="s">
        <v>16</v>
      </c>
      <c r="I203">
        <v>85.1</v>
      </c>
      <c r="J203" t="s">
        <v>53</v>
      </c>
      <c r="K203" t="s">
        <v>18</v>
      </c>
    </row>
    <row r="204" spans="1:11" x14ac:dyDescent="0.5">
      <c r="A204" t="s">
        <v>443</v>
      </c>
      <c r="B204" t="s">
        <v>2817</v>
      </c>
      <c r="C204" t="s">
        <v>444</v>
      </c>
      <c r="D204" t="s">
        <v>28</v>
      </c>
      <c r="E204">
        <v>33.4</v>
      </c>
      <c r="F204" t="s">
        <v>14</v>
      </c>
      <c r="G204" t="s">
        <v>15</v>
      </c>
      <c r="H204" t="s">
        <v>16</v>
      </c>
      <c r="I204">
        <v>66.34</v>
      </c>
      <c r="J204" t="s">
        <v>53</v>
      </c>
      <c r="K204" t="s">
        <v>18</v>
      </c>
    </row>
    <row r="205" spans="1:11" x14ac:dyDescent="0.5">
      <c r="A205" t="s">
        <v>445</v>
      </c>
      <c r="B205" t="s">
        <v>2817</v>
      </c>
      <c r="C205" t="s">
        <v>446</v>
      </c>
      <c r="D205" s="1">
        <v>1.2500000000000001E-2</v>
      </c>
      <c r="E205">
        <v>23.2</v>
      </c>
      <c r="F205" t="s">
        <v>14</v>
      </c>
      <c r="G205" t="s">
        <v>15</v>
      </c>
      <c r="H205" t="s">
        <v>16</v>
      </c>
      <c r="I205">
        <v>80.55</v>
      </c>
      <c r="J205" t="s">
        <v>53</v>
      </c>
      <c r="K205" t="s">
        <v>18</v>
      </c>
    </row>
    <row r="206" spans="1:11" x14ac:dyDescent="0.5">
      <c r="A206" t="s">
        <v>447</v>
      </c>
      <c r="B206" t="s">
        <v>2817</v>
      </c>
      <c r="C206" t="s">
        <v>448</v>
      </c>
      <c r="D206" s="1">
        <v>8.2000000000000007E-3</v>
      </c>
      <c r="E206">
        <v>23.3</v>
      </c>
      <c r="F206" t="s">
        <v>14</v>
      </c>
      <c r="G206" t="s">
        <v>16</v>
      </c>
      <c r="H206" t="s">
        <v>16</v>
      </c>
      <c r="I206">
        <v>79.55</v>
      </c>
      <c r="J206" t="s">
        <v>53</v>
      </c>
      <c r="K206" t="s">
        <v>18</v>
      </c>
    </row>
    <row r="207" spans="1:11" x14ac:dyDescent="0.5">
      <c r="A207" t="s">
        <v>449</v>
      </c>
      <c r="B207" t="s">
        <v>2817</v>
      </c>
      <c r="C207" t="s">
        <v>450</v>
      </c>
      <c r="D207" s="1">
        <v>2.5000000000000001E-3</v>
      </c>
      <c r="E207">
        <v>23.4</v>
      </c>
      <c r="F207" t="s">
        <v>14</v>
      </c>
      <c r="G207" t="s">
        <v>15</v>
      </c>
      <c r="H207" t="s">
        <v>16</v>
      </c>
      <c r="I207">
        <v>78.94</v>
      </c>
      <c r="J207" t="s">
        <v>53</v>
      </c>
      <c r="K207" t="s">
        <v>18</v>
      </c>
    </row>
    <row r="208" spans="1:11" x14ac:dyDescent="0.5">
      <c r="A208" t="s">
        <v>451</v>
      </c>
      <c r="B208" t="s">
        <v>2817</v>
      </c>
      <c r="C208" t="s">
        <v>452</v>
      </c>
      <c r="D208" s="1">
        <v>9.7999999999999997E-3</v>
      </c>
      <c r="E208">
        <v>7.1</v>
      </c>
      <c r="F208" t="s">
        <v>14</v>
      </c>
      <c r="G208" t="s">
        <v>15</v>
      </c>
      <c r="H208" t="s">
        <v>16</v>
      </c>
      <c r="I208">
        <v>100</v>
      </c>
      <c r="J208" t="s">
        <v>53</v>
      </c>
      <c r="K208" t="s">
        <v>18</v>
      </c>
    </row>
    <row r="209" spans="1:11" x14ac:dyDescent="0.5">
      <c r="A209" t="s">
        <v>453</v>
      </c>
      <c r="B209" t="s">
        <v>2817</v>
      </c>
      <c r="C209" t="s">
        <v>454</v>
      </c>
      <c r="D209" s="1">
        <v>3.8E-3</v>
      </c>
      <c r="E209">
        <v>31.5</v>
      </c>
      <c r="F209" t="s">
        <v>14</v>
      </c>
      <c r="G209" t="s">
        <v>15</v>
      </c>
      <c r="H209" t="s">
        <v>16</v>
      </c>
      <c r="I209">
        <v>62.98</v>
      </c>
      <c r="J209" t="s">
        <v>53</v>
      </c>
      <c r="K209" t="s">
        <v>18</v>
      </c>
    </row>
    <row r="210" spans="1:11" x14ac:dyDescent="0.5">
      <c r="A210" t="s">
        <v>455</v>
      </c>
      <c r="B210" t="s">
        <v>2817</v>
      </c>
      <c r="C210" t="s">
        <v>456</v>
      </c>
      <c r="D210" t="s">
        <v>28</v>
      </c>
      <c r="E210">
        <v>29.3</v>
      </c>
      <c r="F210" t="s">
        <v>14</v>
      </c>
      <c r="G210" t="s">
        <v>15</v>
      </c>
      <c r="H210" t="s">
        <v>16</v>
      </c>
      <c r="I210">
        <v>63.19</v>
      </c>
      <c r="J210" t="s">
        <v>53</v>
      </c>
      <c r="K210" t="s">
        <v>18</v>
      </c>
    </row>
    <row r="211" spans="1:11" x14ac:dyDescent="0.5">
      <c r="A211" t="s">
        <v>457</v>
      </c>
      <c r="B211" t="s">
        <v>2817</v>
      </c>
      <c r="C211" t="s">
        <v>458</v>
      </c>
      <c r="D211" s="1">
        <v>5.5999999999999999E-3</v>
      </c>
      <c r="E211">
        <v>84.4</v>
      </c>
      <c r="F211" t="s">
        <v>14</v>
      </c>
      <c r="G211" t="s">
        <v>459</v>
      </c>
      <c r="H211" t="s">
        <v>254</v>
      </c>
      <c r="I211">
        <v>45</v>
      </c>
      <c r="J211" t="s">
        <v>255</v>
      </c>
      <c r="K211" t="s">
        <v>34</v>
      </c>
    </row>
    <row r="212" spans="1:11" x14ac:dyDescent="0.5">
      <c r="A212" t="s">
        <v>460</v>
      </c>
      <c r="B212" t="s">
        <v>2817</v>
      </c>
      <c r="C212" t="s">
        <v>461</v>
      </c>
      <c r="D212" t="s">
        <v>28</v>
      </c>
      <c r="E212">
        <v>25.2</v>
      </c>
      <c r="F212" t="s">
        <v>14</v>
      </c>
      <c r="G212" t="s">
        <v>16</v>
      </c>
      <c r="H212" t="s">
        <v>16</v>
      </c>
      <c r="I212">
        <v>60.31</v>
      </c>
      <c r="J212" t="s">
        <v>53</v>
      </c>
      <c r="K212" t="s">
        <v>18</v>
      </c>
    </row>
    <row r="213" spans="1:11" x14ac:dyDescent="0.5">
      <c r="A213" t="s">
        <v>462</v>
      </c>
      <c r="B213" t="s">
        <v>2817</v>
      </c>
      <c r="C213" t="s">
        <v>463</v>
      </c>
      <c r="D213" s="1">
        <v>9.4000000000000004E-3</v>
      </c>
      <c r="E213">
        <v>26.9</v>
      </c>
      <c r="F213" t="s">
        <v>14</v>
      </c>
      <c r="G213" t="s">
        <v>15</v>
      </c>
      <c r="H213" t="s">
        <v>16</v>
      </c>
      <c r="I213">
        <v>57.88</v>
      </c>
      <c r="J213" t="s">
        <v>53</v>
      </c>
      <c r="K213" t="s">
        <v>18</v>
      </c>
    </row>
    <row r="214" spans="1:11" x14ac:dyDescent="0.5">
      <c r="A214" t="s">
        <v>464</v>
      </c>
      <c r="B214" t="s">
        <v>2817</v>
      </c>
      <c r="C214" t="s">
        <v>465</v>
      </c>
      <c r="D214" t="s">
        <v>28</v>
      </c>
      <c r="E214">
        <v>22.9</v>
      </c>
      <c r="F214" t="s">
        <v>14</v>
      </c>
      <c r="G214" t="s">
        <v>16</v>
      </c>
      <c r="H214" t="s">
        <v>16</v>
      </c>
      <c r="I214">
        <v>61.95</v>
      </c>
      <c r="J214" t="s">
        <v>53</v>
      </c>
      <c r="K214" t="s">
        <v>18</v>
      </c>
    </row>
    <row r="215" spans="1:11" x14ac:dyDescent="0.5">
      <c r="A215" t="s">
        <v>466</v>
      </c>
      <c r="B215" t="s">
        <v>2817</v>
      </c>
      <c r="C215" t="s">
        <v>467</v>
      </c>
      <c r="D215" s="1">
        <v>1.5E-3</v>
      </c>
      <c r="E215">
        <v>8.1</v>
      </c>
      <c r="F215" t="s">
        <v>14</v>
      </c>
      <c r="G215" t="s">
        <v>16</v>
      </c>
      <c r="H215" t="s">
        <v>16</v>
      </c>
      <c r="I215">
        <v>81.98</v>
      </c>
      <c r="J215" t="s">
        <v>53</v>
      </c>
      <c r="K215" t="s">
        <v>18</v>
      </c>
    </row>
    <row r="216" spans="1:11" x14ac:dyDescent="0.5">
      <c r="A216" t="s">
        <v>468</v>
      </c>
      <c r="B216" t="s">
        <v>2817</v>
      </c>
      <c r="C216" t="s">
        <v>469</v>
      </c>
      <c r="D216" s="1">
        <v>2.5999999999999999E-3</v>
      </c>
      <c r="E216">
        <v>32.9</v>
      </c>
      <c r="F216" t="s">
        <v>14</v>
      </c>
      <c r="G216" t="s">
        <v>16</v>
      </c>
      <c r="H216" t="s">
        <v>32</v>
      </c>
      <c r="I216">
        <v>45.62</v>
      </c>
      <c r="J216" t="s">
        <v>33</v>
      </c>
      <c r="K216" t="s">
        <v>34</v>
      </c>
    </row>
    <row r="217" spans="1:11" x14ac:dyDescent="0.5">
      <c r="A217" t="s">
        <v>470</v>
      </c>
      <c r="B217" t="s">
        <v>2817</v>
      </c>
      <c r="C217" t="s">
        <v>471</v>
      </c>
      <c r="D217" s="1">
        <v>2E-3</v>
      </c>
      <c r="E217">
        <v>75</v>
      </c>
      <c r="F217" t="s">
        <v>14</v>
      </c>
      <c r="G217" t="s">
        <v>459</v>
      </c>
      <c r="H217" t="s">
        <v>254</v>
      </c>
      <c r="I217">
        <v>45</v>
      </c>
      <c r="J217" t="s">
        <v>255</v>
      </c>
      <c r="K217" t="s">
        <v>34</v>
      </c>
    </row>
    <row r="218" spans="1:11" x14ac:dyDescent="0.5">
      <c r="A218" t="s">
        <v>472</v>
      </c>
      <c r="B218" t="s">
        <v>2817</v>
      </c>
      <c r="C218" t="s">
        <v>473</v>
      </c>
      <c r="D218" t="s">
        <v>28</v>
      </c>
      <c r="E218">
        <v>11.6</v>
      </c>
      <c r="F218" t="s">
        <v>14</v>
      </c>
      <c r="G218" t="s">
        <v>16</v>
      </c>
      <c r="H218" t="s">
        <v>16</v>
      </c>
      <c r="I218">
        <v>73.19</v>
      </c>
      <c r="J218" t="s">
        <v>53</v>
      </c>
      <c r="K218" t="s">
        <v>18</v>
      </c>
    </row>
    <row r="219" spans="1:11" x14ac:dyDescent="0.5">
      <c r="A219" t="s">
        <v>474</v>
      </c>
      <c r="B219" t="s">
        <v>2817</v>
      </c>
      <c r="C219" t="s">
        <v>475</v>
      </c>
      <c r="D219" t="s">
        <v>28</v>
      </c>
      <c r="E219">
        <v>14.4</v>
      </c>
      <c r="F219" t="s">
        <v>14</v>
      </c>
      <c r="G219" t="s">
        <v>16</v>
      </c>
      <c r="H219" t="s">
        <v>16</v>
      </c>
      <c r="I219">
        <v>65.28</v>
      </c>
      <c r="J219" t="s">
        <v>53</v>
      </c>
      <c r="K219" t="s">
        <v>18</v>
      </c>
    </row>
    <row r="220" spans="1:11" x14ac:dyDescent="0.5">
      <c r="A220" t="s">
        <v>476</v>
      </c>
      <c r="B220" t="s">
        <v>2817</v>
      </c>
      <c r="C220" t="s">
        <v>477</v>
      </c>
      <c r="D220" t="s">
        <v>28</v>
      </c>
      <c r="E220">
        <v>4.8</v>
      </c>
      <c r="F220" t="s">
        <v>14</v>
      </c>
      <c r="G220" t="s">
        <v>15</v>
      </c>
      <c r="H220" t="s">
        <v>16</v>
      </c>
      <c r="I220">
        <v>76.09</v>
      </c>
      <c r="J220" t="s">
        <v>53</v>
      </c>
      <c r="K220" t="s">
        <v>18</v>
      </c>
    </row>
    <row r="221" spans="1:11" x14ac:dyDescent="0.5">
      <c r="A221" t="s">
        <v>478</v>
      </c>
      <c r="B221" t="s">
        <v>2817</v>
      </c>
      <c r="C221" t="s">
        <v>479</v>
      </c>
      <c r="D221" s="1">
        <v>2.5899999999999999E-2</v>
      </c>
      <c r="E221">
        <v>39</v>
      </c>
      <c r="F221" t="s">
        <v>14</v>
      </c>
      <c r="G221" t="s">
        <v>253</v>
      </c>
      <c r="H221" t="s">
        <v>16</v>
      </c>
      <c r="I221">
        <v>56.09</v>
      </c>
      <c r="J221" t="s">
        <v>33</v>
      </c>
      <c r="K221" t="s">
        <v>34</v>
      </c>
    </row>
    <row r="222" spans="1:11" x14ac:dyDescent="0.5">
      <c r="A222" t="s">
        <v>480</v>
      </c>
      <c r="B222" t="s">
        <v>2817</v>
      </c>
      <c r="C222" t="s">
        <v>481</v>
      </c>
      <c r="D222" t="s">
        <v>28</v>
      </c>
      <c r="E222">
        <v>15.7</v>
      </c>
      <c r="F222" t="s">
        <v>14</v>
      </c>
      <c r="G222" t="s">
        <v>16</v>
      </c>
      <c r="H222" t="s">
        <v>16</v>
      </c>
      <c r="I222">
        <v>60.28</v>
      </c>
      <c r="J222" t="s">
        <v>53</v>
      </c>
      <c r="K222" t="s">
        <v>18</v>
      </c>
    </row>
    <row r="223" spans="1:11" x14ac:dyDescent="0.5">
      <c r="A223" t="s">
        <v>482</v>
      </c>
      <c r="B223" t="s">
        <v>2817</v>
      </c>
      <c r="C223" t="s">
        <v>483</v>
      </c>
      <c r="D223" s="1">
        <v>1.0500000000000001E-2</v>
      </c>
      <c r="E223">
        <v>75</v>
      </c>
      <c r="F223" t="s">
        <v>14</v>
      </c>
      <c r="G223" t="s">
        <v>254</v>
      </c>
      <c r="H223" t="s">
        <v>254</v>
      </c>
      <c r="I223">
        <v>36.200000000000003</v>
      </c>
      <c r="J223" t="s">
        <v>255</v>
      </c>
      <c r="K223" t="s">
        <v>34</v>
      </c>
    </row>
    <row r="224" spans="1:11" x14ac:dyDescent="0.5">
      <c r="A224" t="s">
        <v>484</v>
      </c>
      <c r="B224" t="s">
        <v>2817</v>
      </c>
      <c r="C224" t="s">
        <v>485</v>
      </c>
      <c r="D224" t="s">
        <v>28</v>
      </c>
      <c r="E224">
        <v>10.7</v>
      </c>
      <c r="F224" t="s">
        <v>14</v>
      </c>
      <c r="G224" t="s">
        <v>15</v>
      </c>
      <c r="H224" t="s">
        <v>16</v>
      </c>
      <c r="I224">
        <v>65.78</v>
      </c>
      <c r="J224" t="s">
        <v>53</v>
      </c>
      <c r="K224" t="s">
        <v>18</v>
      </c>
    </row>
    <row r="225" spans="1:12" x14ac:dyDescent="0.5">
      <c r="A225" t="s">
        <v>486</v>
      </c>
      <c r="B225" t="s">
        <v>2817</v>
      </c>
      <c r="C225" t="s">
        <v>487</v>
      </c>
      <c r="D225" s="1">
        <v>7.1000000000000004E-3</v>
      </c>
      <c r="E225">
        <v>63.8</v>
      </c>
      <c r="F225" t="s">
        <v>14</v>
      </c>
      <c r="G225" t="s">
        <v>254</v>
      </c>
      <c r="H225" t="s">
        <v>254</v>
      </c>
      <c r="I225">
        <v>51.04</v>
      </c>
      <c r="J225" t="s">
        <v>255</v>
      </c>
      <c r="K225" t="s">
        <v>34</v>
      </c>
    </row>
    <row r="226" spans="1:12" x14ac:dyDescent="0.5">
      <c r="A226" t="s">
        <v>488</v>
      </c>
      <c r="B226" t="s">
        <v>2817</v>
      </c>
      <c r="C226" t="s">
        <v>489</v>
      </c>
      <c r="D226" s="1">
        <v>3.0200000000000001E-2</v>
      </c>
      <c r="E226">
        <v>23.8</v>
      </c>
      <c r="F226" t="s">
        <v>14</v>
      </c>
      <c r="G226" t="s">
        <v>459</v>
      </c>
      <c r="H226" t="s">
        <v>254</v>
      </c>
      <c r="I226">
        <v>74.73</v>
      </c>
      <c r="J226" t="s">
        <v>255</v>
      </c>
      <c r="K226" t="s">
        <v>34</v>
      </c>
    </row>
    <row r="227" spans="1:12" x14ac:dyDescent="0.5">
      <c r="A227" t="s">
        <v>490</v>
      </c>
      <c r="B227" t="s">
        <v>2817</v>
      </c>
      <c r="C227" t="s">
        <v>491</v>
      </c>
      <c r="D227" s="1">
        <v>2.24E-2</v>
      </c>
      <c r="E227">
        <v>42.9</v>
      </c>
      <c r="F227" t="s">
        <v>14</v>
      </c>
      <c r="G227" t="s">
        <v>253</v>
      </c>
      <c r="H227" t="s">
        <v>32</v>
      </c>
      <c r="I227">
        <v>46.89</v>
      </c>
      <c r="J227" t="s">
        <v>33</v>
      </c>
      <c r="K227" t="s">
        <v>34</v>
      </c>
    </row>
    <row r="228" spans="1:12" x14ac:dyDescent="0.5">
      <c r="A228" t="s">
        <v>492</v>
      </c>
      <c r="B228" t="s">
        <v>2817</v>
      </c>
      <c r="C228" t="s">
        <v>493</v>
      </c>
      <c r="D228" t="s">
        <v>28</v>
      </c>
      <c r="E228">
        <v>12.4</v>
      </c>
      <c r="F228" t="s">
        <v>14</v>
      </c>
      <c r="G228" t="s">
        <v>459</v>
      </c>
      <c r="H228" t="s">
        <v>254</v>
      </c>
      <c r="I228">
        <v>45</v>
      </c>
      <c r="J228" t="s">
        <v>255</v>
      </c>
      <c r="K228" t="s">
        <v>494</v>
      </c>
      <c r="L228" t="s">
        <v>495</v>
      </c>
    </row>
    <row r="229" spans="1:12" x14ac:dyDescent="0.5">
      <c r="A229" t="s">
        <v>496</v>
      </c>
      <c r="B229" t="s">
        <v>2817</v>
      </c>
      <c r="C229" t="s">
        <v>497</v>
      </c>
      <c r="D229" s="1">
        <v>2.7099999999999999E-2</v>
      </c>
      <c r="E229">
        <v>43.3</v>
      </c>
      <c r="F229" t="s">
        <v>14</v>
      </c>
      <c r="G229" t="s">
        <v>459</v>
      </c>
      <c r="H229" t="s">
        <v>254</v>
      </c>
      <c r="I229">
        <v>45</v>
      </c>
      <c r="J229" t="s">
        <v>255</v>
      </c>
      <c r="K229" t="s">
        <v>34</v>
      </c>
    </row>
    <row r="230" spans="1:12" x14ac:dyDescent="0.5">
      <c r="A230" t="s">
        <v>498</v>
      </c>
      <c r="B230" t="s">
        <v>2817</v>
      </c>
      <c r="C230" t="s">
        <v>499</v>
      </c>
      <c r="D230" s="1">
        <v>4.24E-2</v>
      </c>
      <c r="E230">
        <v>33.200000000000003</v>
      </c>
      <c r="F230" t="s">
        <v>14</v>
      </c>
      <c r="G230" t="s">
        <v>254</v>
      </c>
      <c r="H230" t="s">
        <v>254</v>
      </c>
      <c r="I230">
        <v>58.86</v>
      </c>
      <c r="J230" t="s">
        <v>255</v>
      </c>
      <c r="K230" t="s">
        <v>34</v>
      </c>
    </row>
    <row r="231" spans="1:12" x14ac:dyDescent="0.5">
      <c r="A231" t="s">
        <v>500</v>
      </c>
      <c r="B231" t="s">
        <v>2817</v>
      </c>
      <c r="C231" t="s">
        <v>501</v>
      </c>
      <c r="D231" t="s">
        <v>28</v>
      </c>
      <c r="E231">
        <v>63</v>
      </c>
      <c r="F231" t="s">
        <v>14</v>
      </c>
      <c r="G231" t="s">
        <v>459</v>
      </c>
      <c r="H231" t="s">
        <v>254</v>
      </c>
      <c r="I231">
        <v>45</v>
      </c>
      <c r="J231" t="s">
        <v>255</v>
      </c>
      <c r="K231" t="s">
        <v>34</v>
      </c>
    </row>
    <row r="232" spans="1:12" x14ac:dyDescent="0.5">
      <c r="A232" t="s">
        <v>502</v>
      </c>
      <c r="B232" t="s">
        <v>2817</v>
      </c>
      <c r="C232" t="s">
        <v>503</v>
      </c>
      <c r="D232" s="1">
        <v>1.72E-2</v>
      </c>
      <c r="E232">
        <v>62.3</v>
      </c>
      <c r="F232" t="s">
        <v>14</v>
      </c>
      <c r="G232" t="s">
        <v>459</v>
      </c>
      <c r="H232" t="s">
        <v>254</v>
      </c>
      <c r="I232">
        <v>45</v>
      </c>
      <c r="J232" t="s">
        <v>255</v>
      </c>
      <c r="K232" t="s">
        <v>34</v>
      </c>
    </row>
    <row r="233" spans="1:12" x14ac:dyDescent="0.5">
      <c r="A233" t="s">
        <v>504</v>
      </c>
      <c r="B233" t="s">
        <v>2817</v>
      </c>
      <c r="C233" t="s">
        <v>505</v>
      </c>
      <c r="D233" t="s">
        <v>28</v>
      </c>
      <c r="E233">
        <v>27.7</v>
      </c>
      <c r="F233" t="s">
        <v>14</v>
      </c>
      <c r="G233" t="s">
        <v>254</v>
      </c>
      <c r="H233" t="s">
        <v>506</v>
      </c>
      <c r="I233">
        <v>23.19</v>
      </c>
      <c r="J233" t="s">
        <v>255</v>
      </c>
      <c r="K233" t="s">
        <v>494</v>
      </c>
      <c r="L233" t="s">
        <v>507</v>
      </c>
    </row>
    <row r="234" spans="1:12" x14ac:dyDescent="0.5">
      <c r="A234" t="s">
        <v>508</v>
      </c>
      <c r="B234" t="s">
        <v>2817</v>
      </c>
      <c r="C234" t="s">
        <v>509</v>
      </c>
      <c r="D234" t="s">
        <v>28</v>
      </c>
      <c r="E234">
        <v>10.3</v>
      </c>
      <c r="F234" t="s">
        <v>14</v>
      </c>
      <c r="G234" t="s">
        <v>459</v>
      </c>
      <c r="H234" t="s">
        <v>254</v>
      </c>
      <c r="I234">
        <v>45</v>
      </c>
      <c r="J234" t="s">
        <v>255</v>
      </c>
      <c r="K234" t="s">
        <v>494</v>
      </c>
      <c r="L234" t="s">
        <v>510</v>
      </c>
    </row>
    <row r="235" spans="1:12" x14ac:dyDescent="0.5">
      <c r="A235" t="s">
        <v>511</v>
      </c>
      <c r="B235" t="s">
        <v>2817</v>
      </c>
      <c r="C235" t="s">
        <v>512</v>
      </c>
      <c r="D235" t="s">
        <v>28</v>
      </c>
      <c r="E235">
        <v>66.099999999999994</v>
      </c>
      <c r="F235" t="s">
        <v>14</v>
      </c>
      <c r="G235" t="s">
        <v>506</v>
      </c>
      <c r="H235" t="s">
        <v>32</v>
      </c>
      <c r="I235">
        <v>36.86</v>
      </c>
      <c r="J235" t="s">
        <v>33</v>
      </c>
      <c r="K235" t="s">
        <v>34</v>
      </c>
    </row>
    <row r="236" spans="1:12" x14ac:dyDescent="0.5">
      <c r="A236" t="s">
        <v>513</v>
      </c>
      <c r="B236" t="s">
        <v>2817</v>
      </c>
      <c r="C236" t="s">
        <v>514</v>
      </c>
      <c r="D236" s="1">
        <v>9.2999999999999992E-3</v>
      </c>
      <c r="E236">
        <v>58.9</v>
      </c>
      <c r="F236" t="s">
        <v>14</v>
      </c>
      <c r="G236" t="s">
        <v>459</v>
      </c>
      <c r="H236" t="s">
        <v>254</v>
      </c>
      <c r="I236">
        <v>45</v>
      </c>
      <c r="J236" t="s">
        <v>255</v>
      </c>
      <c r="K236" t="s">
        <v>34</v>
      </c>
    </row>
    <row r="237" spans="1:12" x14ac:dyDescent="0.5">
      <c r="A237" t="s">
        <v>515</v>
      </c>
      <c r="B237" t="s">
        <v>2817</v>
      </c>
      <c r="C237" t="s">
        <v>516</v>
      </c>
      <c r="D237" s="1">
        <v>2.3599999999999999E-2</v>
      </c>
      <c r="E237">
        <v>34.4</v>
      </c>
      <c r="F237" t="s">
        <v>14</v>
      </c>
      <c r="G237" t="s">
        <v>459</v>
      </c>
      <c r="H237" t="s">
        <v>254</v>
      </c>
      <c r="I237">
        <v>45</v>
      </c>
      <c r="J237" t="s">
        <v>255</v>
      </c>
      <c r="K237" t="s">
        <v>34</v>
      </c>
    </row>
    <row r="238" spans="1:12" x14ac:dyDescent="0.5">
      <c r="A238" t="s">
        <v>517</v>
      </c>
      <c r="B238" t="s">
        <v>2817</v>
      </c>
      <c r="C238" t="s">
        <v>518</v>
      </c>
      <c r="D238" s="1">
        <v>1.11E-2</v>
      </c>
      <c r="E238">
        <v>63.2</v>
      </c>
      <c r="F238" t="s">
        <v>14</v>
      </c>
      <c r="G238" t="s">
        <v>459</v>
      </c>
      <c r="H238" t="s">
        <v>254</v>
      </c>
      <c r="I238">
        <v>36.200000000000003</v>
      </c>
      <c r="J238" t="s">
        <v>255</v>
      </c>
      <c r="K238" t="s">
        <v>34</v>
      </c>
    </row>
    <row r="239" spans="1:12" x14ac:dyDescent="0.5">
      <c r="A239" t="s">
        <v>519</v>
      </c>
      <c r="B239" t="s">
        <v>2817</v>
      </c>
      <c r="C239" t="s">
        <v>520</v>
      </c>
      <c r="D239" s="1">
        <v>2.24E-2</v>
      </c>
      <c r="E239">
        <v>26.2</v>
      </c>
      <c r="F239" t="s">
        <v>14</v>
      </c>
      <c r="G239" t="s">
        <v>253</v>
      </c>
      <c r="H239" t="s">
        <v>16</v>
      </c>
      <c r="I239">
        <v>53.4</v>
      </c>
      <c r="J239" t="s">
        <v>33</v>
      </c>
      <c r="K239" t="s">
        <v>34</v>
      </c>
    </row>
    <row r="240" spans="1:12" x14ac:dyDescent="0.5">
      <c r="A240" t="s">
        <v>521</v>
      </c>
      <c r="B240" t="s">
        <v>2817</v>
      </c>
      <c r="C240" t="s">
        <v>522</v>
      </c>
      <c r="D240" s="1">
        <v>4.6199999999999998E-2</v>
      </c>
      <c r="E240">
        <v>31.3</v>
      </c>
      <c r="F240" t="s">
        <v>14</v>
      </c>
      <c r="G240" t="s">
        <v>459</v>
      </c>
      <c r="H240" t="s">
        <v>254</v>
      </c>
      <c r="I240">
        <v>45</v>
      </c>
      <c r="J240" t="s">
        <v>255</v>
      </c>
      <c r="K240" t="s">
        <v>34</v>
      </c>
    </row>
    <row r="241" spans="1:11" x14ac:dyDescent="0.5">
      <c r="A241" t="s">
        <v>523</v>
      </c>
      <c r="B241" t="s">
        <v>2817</v>
      </c>
      <c r="C241" t="s">
        <v>524</v>
      </c>
      <c r="D241" s="1">
        <v>1.2200000000000001E-2</v>
      </c>
      <c r="E241">
        <v>53.5</v>
      </c>
      <c r="F241" t="s">
        <v>14</v>
      </c>
      <c r="G241" t="s">
        <v>253</v>
      </c>
      <c r="H241" t="s">
        <v>32</v>
      </c>
      <c r="I241">
        <v>45.4</v>
      </c>
      <c r="J241" t="s">
        <v>33</v>
      </c>
      <c r="K241" t="s">
        <v>34</v>
      </c>
    </row>
    <row r="242" spans="1:11" x14ac:dyDescent="0.5">
      <c r="A242" t="s">
        <v>525</v>
      </c>
      <c r="B242" t="s">
        <v>2817</v>
      </c>
      <c r="C242" t="s">
        <v>526</v>
      </c>
      <c r="D242" s="1">
        <v>2.4500000000000001E-2</v>
      </c>
      <c r="E242">
        <v>30.8</v>
      </c>
      <c r="F242" t="s">
        <v>14</v>
      </c>
      <c r="G242" t="s">
        <v>459</v>
      </c>
      <c r="H242" t="s">
        <v>254</v>
      </c>
      <c r="I242">
        <v>45</v>
      </c>
      <c r="J242" t="s">
        <v>255</v>
      </c>
      <c r="K242" t="s">
        <v>34</v>
      </c>
    </row>
    <row r="243" spans="1:11" x14ac:dyDescent="0.5">
      <c r="A243" t="s">
        <v>527</v>
      </c>
      <c r="B243" t="s">
        <v>2817</v>
      </c>
      <c r="C243" t="s">
        <v>528</v>
      </c>
      <c r="D243" s="1">
        <v>2.7E-2</v>
      </c>
      <c r="E243">
        <v>30.3</v>
      </c>
      <c r="F243" t="s">
        <v>14</v>
      </c>
      <c r="G243" t="s">
        <v>459</v>
      </c>
      <c r="H243" t="s">
        <v>254</v>
      </c>
      <c r="I243">
        <v>45</v>
      </c>
      <c r="J243" t="s">
        <v>255</v>
      </c>
      <c r="K243" t="s">
        <v>34</v>
      </c>
    </row>
    <row r="244" spans="1:11" x14ac:dyDescent="0.5">
      <c r="A244" t="s">
        <v>529</v>
      </c>
      <c r="B244" t="s">
        <v>2817</v>
      </c>
      <c r="C244" t="s">
        <v>530</v>
      </c>
      <c r="D244" s="1">
        <v>8.8999999999999999E-3</v>
      </c>
      <c r="E244">
        <v>52.6</v>
      </c>
      <c r="F244" t="s">
        <v>14</v>
      </c>
      <c r="G244" t="s">
        <v>459</v>
      </c>
      <c r="H244" t="s">
        <v>254</v>
      </c>
      <c r="I244">
        <v>45</v>
      </c>
      <c r="J244" t="s">
        <v>255</v>
      </c>
      <c r="K244" t="s">
        <v>34</v>
      </c>
    </row>
    <row r="245" spans="1:11" x14ac:dyDescent="0.5">
      <c r="A245" t="s">
        <v>531</v>
      </c>
      <c r="B245" t="s">
        <v>2817</v>
      </c>
      <c r="C245" t="s">
        <v>532</v>
      </c>
      <c r="D245" s="1">
        <v>2.53E-2</v>
      </c>
      <c r="E245">
        <v>25.2</v>
      </c>
      <c r="F245" t="s">
        <v>14</v>
      </c>
      <c r="G245" t="s">
        <v>459</v>
      </c>
      <c r="H245" t="s">
        <v>254</v>
      </c>
      <c r="I245">
        <v>45</v>
      </c>
      <c r="J245" t="s">
        <v>255</v>
      </c>
      <c r="K245" t="s">
        <v>34</v>
      </c>
    </row>
    <row r="246" spans="1:11" x14ac:dyDescent="0.5">
      <c r="A246" t="s">
        <v>533</v>
      </c>
      <c r="B246" t="s">
        <v>2817</v>
      </c>
      <c r="C246" t="s">
        <v>534</v>
      </c>
      <c r="D246" t="s">
        <v>28</v>
      </c>
      <c r="E246">
        <v>32.5</v>
      </c>
      <c r="F246" t="s">
        <v>14</v>
      </c>
      <c r="G246" t="s">
        <v>459</v>
      </c>
      <c r="H246" t="s">
        <v>254</v>
      </c>
      <c r="I246">
        <v>66.56</v>
      </c>
      <c r="J246" t="s">
        <v>255</v>
      </c>
      <c r="K246" t="s">
        <v>34</v>
      </c>
    </row>
    <row r="247" spans="1:11" x14ac:dyDescent="0.5">
      <c r="A247" t="s">
        <v>535</v>
      </c>
      <c r="B247" t="s">
        <v>2817</v>
      </c>
      <c r="C247" t="s">
        <v>536</v>
      </c>
      <c r="D247" t="s">
        <v>28</v>
      </c>
      <c r="E247">
        <v>47.7</v>
      </c>
      <c r="F247" t="s">
        <v>14</v>
      </c>
      <c r="G247" t="s">
        <v>459</v>
      </c>
      <c r="H247" t="s">
        <v>254</v>
      </c>
      <c r="I247">
        <v>45</v>
      </c>
      <c r="J247" t="s">
        <v>255</v>
      </c>
      <c r="K247" t="s">
        <v>34</v>
      </c>
    </row>
    <row r="248" spans="1:11" x14ac:dyDescent="0.5">
      <c r="A248" t="s">
        <v>537</v>
      </c>
      <c r="B248" t="s">
        <v>2817</v>
      </c>
      <c r="C248" t="s">
        <v>538</v>
      </c>
      <c r="D248" s="1">
        <v>4.24E-2</v>
      </c>
      <c r="E248">
        <v>24.1</v>
      </c>
      <c r="F248" t="s">
        <v>14</v>
      </c>
      <c r="G248" t="s">
        <v>459</v>
      </c>
      <c r="H248" t="s">
        <v>254</v>
      </c>
      <c r="I248">
        <v>45</v>
      </c>
      <c r="J248" t="s">
        <v>255</v>
      </c>
      <c r="K248" t="s">
        <v>34</v>
      </c>
    </row>
    <row r="249" spans="1:11" x14ac:dyDescent="0.5">
      <c r="A249" t="s">
        <v>539</v>
      </c>
      <c r="B249" t="s">
        <v>2817</v>
      </c>
      <c r="C249" t="s">
        <v>540</v>
      </c>
      <c r="D249" s="1">
        <v>1.6400000000000001E-2</v>
      </c>
      <c r="E249">
        <v>46.2</v>
      </c>
      <c r="F249" t="s">
        <v>14</v>
      </c>
      <c r="G249" t="s">
        <v>459</v>
      </c>
      <c r="H249" t="s">
        <v>254</v>
      </c>
      <c r="I249">
        <v>45</v>
      </c>
      <c r="J249" t="s">
        <v>255</v>
      </c>
      <c r="K249" t="s">
        <v>34</v>
      </c>
    </row>
    <row r="250" spans="1:11" x14ac:dyDescent="0.5">
      <c r="A250" t="s">
        <v>541</v>
      </c>
      <c r="B250" t="s">
        <v>2817</v>
      </c>
      <c r="C250" t="s">
        <v>542</v>
      </c>
      <c r="D250" s="1">
        <v>3.32E-2</v>
      </c>
      <c r="E250">
        <v>23.1</v>
      </c>
      <c r="F250" t="s">
        <v>14</v>
      </c>
      <c r="G250" t="s">
        <v>459</v>
      </c>
      <c r="H250" t="s">
        <v>254</v>
      </c>
      <c r="I250">
        <v>45</v>
      </c>
      <c r="J250" t="s">
        <v>255</v>
      </c>
      <c r="K250" t="s">
        <v>34</v>
      </c>
    </row>
    <row r="251" spans="1:11" x14ac:dyDescent="0.5">
      <c r="A251" t="s">
        <v>543</v>
      </c>
      <c r="B251" t="s">
        <v>2817</v>
      </c>
      <c r="C251" t="s">
        <v>544</v>
      </c>
      <c r="D251" s="1">
        <v>2.6800000000000001E-2</v>
      </c>
      <c r="E251">
        <v>22.9</v>
      </c>
      <c r="F251" t="s">
        <v>14</v>
      </c>
      <c r="G251" t="s">
        <v>254</v>
      </c>
      <c r="H251" t="s">
        <v>254</v>
      </c>
      <c r="I251">
        <v>45</v>
      </c>
      <c r="J251" t="s">
        <v>255</v>
      </c>
      <c r="K251" t="s">
        <v>34</v>
      </c>
    </row>
    <row r="252" spans="1:11" x14ac:dyDescent="0.5">
      <c r="A252" t="s">
        <v>545</v>
      </c>
      <c r="B252" t="s">
        <v>2817</v>
      </c>
      <c r="C252" t="s">
        <v>546</v>
      </c>
      <c r="D252" s="1">
        <v>6.83E-2</v>
      </c>
      <c r="E252">
        <v>22.3</v>
      </c>
      <c r="F252" t="s">
        <v>14</v>
      </c>
      <c r="G252" t="s">
        <v>459</v>
      </c>
      <c r="H252" t="s">
        <v>254</v>
      </c>
      <c r="I252">
        <v>45</v>
      </c>
      <c r="J252" t="s">
        <v>255</v>
      </c>
      <c r="K252" t="s">
        <v>34</v>
      </c>
    </row>
    <row r="253" spans="1:11" x14ac:dyDescent="0.5">
      <c r="A253" t="s">
        <v>547</v>
      </c>
      <c r="B253" t="s">
        <v>2817</v>
      </c>
      <c r="C253" t="s">
        <v>548</v>
      </c>
      <c r="D253" s="1">
        <v>1.3899999999999999E-2</v>
      </c>
      <c r="E253">
        <v>44.2</v>
      </c>
      <c r="F253" t="s">
        <v>14</v>
      </c>
      <c r="G253" t="s">
        <v>459</v>
      </c>
      <c r="H253" t="s">
        <v>254</v>
      </c>
      <c r="I253">
        <v>45</v>
      </c>
      <c r="J253" t="s">
        <v>255</v>
      </c>
      <c r="K253" t="s">
        <v>34</v>
      </c>
    </row>
    <row r="254" spans="1:11" x14ac:dyDescent="0.5">
      <c r="A254" t="s">
        <v>549</v>
      </c>
      <c r="B254" t="s">
        <v>2817</v>
      </c>
      <c r="C254" t="s">
        <v>550</v>
      </c>
      <c r="D254" s="1">
        <v>2.4199999999999999E-2</v>
      </c>
      <c r="E254">
        <v>21</v>
      </c>
      <c r="F254" t="s">
        <v>14</v>
      </c>
      <c r="G254" t="s">
        <v>254</v>
      </c>
      <c r="H254" t="s">
        <v>254</v>
      </c>
      <c r="I254">
        <v>45</v>
      </c>
      <c r="J254" t="s">
        <v>255</v>
      </c>
      <c r="K254" t="s">
        <v>34</v>
      </c>
    </row>
    <row r="255" spans="1:11" x14ac:dyDescent="0.5">
      <c r="A255" t="s">
        <v>551</v>
      </c>
      <c r="B255" t="s">
        <v>2817</v>
      </c>
      <c r="C255" t="s">
        <v>552</v>
      </c>
      <c r="D255" s="1">
        <v>2.5100000000000001E-2</v>
      </c>
      <c r="E255">
        <v>20.8</v>
      </c>
      <c r="F255" t="s">
        <v>14</v>
      </c>
      <c r="G255" t="s">
        <v>459</v>
      </c>
      <c r="H255" t="s">
        <v>254</v>
      </c>
      <c r="I255">
        <v>45</v>
      </c>
      <c r="J255" t="s">
        <v>255</v>
      </c>
      <c r="K255" t="s">
        <v>34</v>
      </c>
    </row>
    <row r="256" spans="1:11" x14ac:dyDescent="0.5">
      <c r="A256" t="s">
        <v>553</v>
      </c>
      <c r="B256" t="s">
        <v>2817</v>
      </c>
      <c r="C256" t="s">
        <v>554</v>
      </c>
      <c r="D256" s="1">
        <v>2.4500000000000001E-2</v>
      </c>
      <c r="E256">
        <v>20.100000000000001</v>
      </c>
      <c r="F256" t="s">
        <v>14</v>
      </c>
      <c r="G256" t="s">
        <v>459</v>
      </c>
      <c r="H256" t="s">
        <v>254</v>
      </c>
      <c r="I256">
        <v>45</v>
      </c>
      <c r="J256" t="s">
        <v>255</v>
      </c>
      <c r="K256" t="s">
        <v>34</v>
      </c>
    </row>
    <row r="257" spans="1:11" x14ac:dyDescent="0.5">
      <c r="A257" t="s">
        <v>555</v>
      </c>
      <c r="B257" t="s">
        <v>2817</v>
      </c>
      <c r="C257" t="s">
        <v>556</v>
      </c>
      <c r="D257" s="1">
        <v>2.3599999999999999E-2</v>
      </c>
      <c r="E257">
        <v>26</v>
      </c>
      <c r="F257" t="s">
        <v>14</v>
      </c>
      <c r="G257" t="s">
        <v>459</v>
      </c>
      <c r="H257" t="s">
        <v>254</v>
      </c>
      <c r="I257">
        <v>36.200000000000003</v>
      </c>
      <c r="J257" t="s">
        <v>255</v>
      </c>
      <c r="K257" t="s">
        <v>34</v>
      </c>
    </row>
    <row r="258" spans="1:11" x14ac:dyDescent="0.5">
      <c r="A258" t="s">
        <v>557</v>
      </c>
      <c r="B258" t="s">
        <v>2817</v>
      </c>
      <c r="C258" t="s">
        <v>558</v>
      </c>
      <c r="D258" s="1">
        <v>3.9800000000000002E-2</v>
      </c>
      <c r="E258">
        <v>18.5</v>
      </c>
      <c r="F258" t="s">
        <v>14</v>
      </c>
      <c r="G258" t="s">
        <v>459</v>
      </c>
      <c r="H258" t="s">
        <v>254</v>
      </c>
      <c r="I258">
        <v>45</v>
      </c>
      <c r="J258" t="s">
        <v>255</v>
      </c>
      <c r="K258" t="s">
        <v>34</v>
      </c>
    </row>
    <row r="259" spans="1:11" x14ac:dyDescent="0.5">
      <c r="A259" t="s">
        <v>559</v>
      </c>
      <c r="B259" t="s">
        <v>2817</v>
      </c>
      <c r="C259" t="s">
        <v>560</v>
      </c>
      <c r="D259" s="1">
        <v>5.5100000000000003E-2</v>
      </c>
      <c r="E259">
        <v>17.899999999999999</v>
      </c>
      <c r="F259" t="s">
        <v>14</v>
      </c>
      <c r="G259" t="s">
        <v>459</v>
      </c>
      <c r="H259" t="s">
        <v>254</v>
      </c>
      <c r="I259">
        <v>45</v>
      </c>
      <c r="J259" t="s">
        <v>255</v>
      </c>
      <c r="K259" t="s">
        <v>34</v>
      </c>
    </row>
    <row r="260" spans="1:11" x14ac:dyDescent="0.5">
      <c r="A260" t="s">
        <v>561</v>
      </c>
      <c r="B260" t="s">
        <v>2817</v>
      </c>
      <c r="C260" t="s">
        <v>562</v>
      </c>
      <c r="D260" s="1">
        <v>1.6899999999999998E-2</v>
      </c>
      <c r="E260">
        <v>40.5</v>
      </c>
      <c r="F260" t="s">
        <v>14</v>
      </c>
      <c r="G260" t="s">
        <v>459</v>
      </c>
      <c r="H260" t="s">
        <v>254</v>
      </c>
      <c r="I260">
        <v>45</v>
      </c>
      <c r="J260" t="s">
        <v>255</v>
      </c>
      <c r="K260" t="s">
        <v>34</v>
      </c>
    </row>
    <row r="261" spans="1:11" x14ac:dyDescent="0.5">
      <c r="A261" t="s">
        <v>563</v>
      </c>
      <c r="B261" t="s">
        <v>2817</v>
      </c>
      <c r="C261" t="s">
        <v>564</v>
      </c>
      <c r="D261" s="1">
        <v>3.9300000000000002E-2</v>
      </c>
      <c r="E261">
        <v>17.600000000000001</v>
      </c>
      <c r="F261" t="s">
        <v>14</v>
      </c>
      <c r="G261" t="s">
        <v>459</v>
      </c>
      <c r="H261" t="s">
        <v>254</v>
      </c>
      <c r="I261">
        <v>45</v>
      </c>
      <c r="J261" t="s">
        <v>255</v>
      </c>
      <c r="K261" t="s">
        <v>34</v>
      </c>
    </row>
    <row r="262" spans="1:11" x14ac:dyDescent="0.5">
      <c r="A262" t="s">
        <v>565</v>
      </c>
      <c r="B262" t="s">
        <v>2817</v>
      </c>
      <c r="C262" t="s">
        <v>566</v>
      </c>
      <c r="D262" s="1">
        <v>5.57E-2</v>
      </c>
      <c r="E262">
        <v>17.100000000000001</v>
      </c>
      <c r="F262" t="s">
        <v>14</v>
      </c>
      <c r="G262" t="s">
        <v>459</v>
      </c>
      <c r="H262" t="s">
        <v>254</v>
      </c>
      <c r="I262">
        <v>45</v>
      </c>
      <c r="J262" t="s">
        <v>255</v>
      </c>
      <c r="K262" t="s">
        <v>34</v>
      </c>
    </row>
    <row r="263" spans="1:11" x14ac:dyDescent="0.5">
      <c r="A263" t="s">
        <v>567</v>
      </c>
      <c r="B263" t="s">
        <v>2817</v>
      </c>
      <c r="C263" t="s">
        <v>568</v>
      </c>
      <c r="D263" s="1">
        <v>3.1600000000000003E-2</v>
      </c>
      <c r="E263">
        <v>17</v>
      </c>
      <c r="F263" t="s">
        <v>14</v>
      </c>
      <c r="G263" t="s">
        <v>459</v>
      </c>
      <c r="H263" t="s">
        <v>254</v>
      </c>
      <c r="I263">
        <v>45</v>
      </c>
      <c r="J263" t="s">
        <v>255</v>
      </c>
      <c r="K263" t="s">
        <v>34</v>
      </c>
    </row>
    <row r="264" spans="1:11" x14ac:dyDescent="0.5">
      <c r="A264" t="s">
        <v>569</v>
      </c>
      <c r="B264" t="s">
        <v>2817</v>
      </c>
      <c r="C264" t="s">
        <v>570</v>
      </c>
      <c r="D264" s="1">
        <v>4.5600000000000002E-2</v>
      </c>
      <c r="E264">
        <v>16.7</v>
      </c>
      <c r="F264" t="s">
        <v>14</v>
      </c>
      <c r="G264" t="s">
        <v>459</v>
      </c>
      <c r="H264" t="s">
        <v>254</v>
      </c>
      <c r="I264">
        <v>45</v>
      </c>
      <c r="J264" t="s">
        <v>255</v>
      </c>
      <c r="K264" t="s">
        <v>34</v>
      </c>
    </row>
    <row r="265" spans="1:11" x14ac:dyDescent="0.5">
      <c r="A265" t="s">
        <v>571</v>
      </c>
      <c r="B265" t="s">
        <v>2817</v>
      </c>
      <c r="C265" t="s">
        <v>572</v>
      </c>
      <c r="D265" s="1">
        <v>3.2199999999999999E-2</v>
      </c>
      <c r="E265">
        <v>15.7</v>
      </c>
      <c r="F265" t="s">
        <v>14</v>
      </c>
      <c r="G265" t="s">
        <v>254</v>
      </c>
      <c r="H265" t="s">
        <v>254</v>
      </c>
      <c r="I265">
        <v>45</v>
      </c>
      <c r="J265" t="s">
        <v>255</v>
      </c>
      <c r="K265" t="s">
        <v>34</v>
      </c>
    </row>
    <row r="266" spans="1:11" x14ac:dyDescent="0.5">
      <c r="A266" t="s">
        <v>573</v>
      </c>
      <c r="B266" t="s">
        <v>2817</v>
      </c>
      <c r="C266" t="s">
        <v>574</v>
      </c>
      <c r="D266" s="1">
        <v>7.7999999999999996E-3</v>
      </c>
      <c r="E266">
        <v>38.1</v>
      </c>
      <c r="F266" t="s">
        <v>14</v>
      </c>
      <c r="G266" t="s">
        <v>459</v>
      </c>
      <c r="H266" t="s">
        <v>254</v>
      </c>
      <c r="I266">
        <v>45</v>
      </c>
      <c r="J266" t="s">
        <v>255</v>
      </c>
      <c r="K266" t="s">
        <v>34</v>
      </c>
    </row>
    <row r="267" spans="1:11" x14ac:dyDescent="0.5">
      <c r="A267" t="s">
        <v>575</v>
      </c>
      <c r="B267" t="s">
        <v>2817</v>
      </c>
      <c r="C267" t="s">
        <v>576</v>
      </c>
      <c r="D267" s="1">
        <v>2.8000000000000001E-2</v>
      </c>
      <c r="E267">
        <v>14.8</v>
      </c>
      <c r="F267" t="s">
        <v>14</v>
      </c>
      <c r="G267" t="s">
        <v>254</v>
      </c>
      <c r="H267" t="s">
        <v>254</v>
      </c>
      <c r="I267">
        <v>45</v>
      </c>
      <c r="J267" t="s">
        <v>255</v>
      </c>
      <c r="K267" t="s">
        <v>34</v>
      </c>
    </row>
    <row r="268" spans="1:11" x14ac:dyDescent="0.5">
      <c r="A268" t="s">
        <v>577</v>
      </c>
      <c r="B268" t="s">
        <v>2817</v>
      </c>
      <c r="C268" t="s">
        <v>578</v>
      </c>
      <c r="D268" s="1">
        <v>5.1900000000000002E-2</v>
      </c>
      <c r="E268">
        <v>13.7</v>
      </c>
      <c r="F268" t="s">
        <v>14</v>
      </c>
      <c r="G268" t="s">
        <v>459</v>
      </c>
      <c r="H268" t="s">
        <v>254</v>
      </c>
      <c r="I268">
        <v>45</v>
      </c>
      <c r="J268" t="s">
        <v>255</v>
      </c>
      <c r="K268" t="s">
        <v>34</v>
      </c>
    </row>
    <row r="269" spans="1:11" x14ac:dyDescent="0.5">
      <c r="A269" t="s">
        <v>579</v>
      </c>
      <c r="B269" t="s">
        <v>2817</v>
      </c>
      <c r="C269" t="s">
        <v>580</v>
      </c>
      <c r="D269" t="s">
        <v>28</v>
      </c>
      <c r="E269">
        <v>36.200000000000003</v>
      </c>
      <c r="F269" t="s">
        <v>14</v>
      </c>
      <c r="G269" t="s">
        <v>459</v>
      </c>
      <c r="H269" t="s">
        <v>254</v>
      </c>
      <c r="I269">
        <v>45</v>
      </c>
      <c r="J269" t="s">
        <v>255</v>
      </c>
      <c r="K269" t="s">
        <v>34</v>
      </c>
    </row>
    <row r="270" spans="1:11" x14ac:dyDescent="0.5">
      <c r="A270" t="s">
        <v>581</v>
      </c>
      <c r="B270" t="s">
        <v>2817</v>
      </c>
      <c r="C270" t="s">
        <v>582</v>
      </c>
      <c r="D270" s="1">
        <v>6.1999999999999998E-3</v>
      </c>
      <c r="E270">
        <v>42.4</v>
      </c>
      <c r="F270" t="s">
        <v>14</v>
      </c>
      <c r="G270" t="s">
        <v>459</v>
      </c>
      <c r="H270" t="s">
        <v>254</v>
      </c>
      <c r="I270">
        <v>36.200000000000003</v>
      </c>
      <c r="J270" t="s">
        <v>255</v>
      </c>
      <c r="K270" t="s">
        <v>34</v>
      </c>
    </row>
    <row r="271" spans="1:11" x14ac:dyDescent="0.5">
      <c r="A271" t="s">
        <v>583</v>
      </c>
      <c r="B271" t="s">
        <v>2817</v>
      </c>
      <c r="C271" t="s">
        <v>584</v>
      </c>
      <c r="D271" s="1">
        <v>2.4E-2</v>
      </c>
      <c r="E271">
        <v>19</v>
      </c>
      <c r="F271" t="s">
        <v>14</v>
      </c>
      <c r="G271" t="s">
        <v>459</v>
      </c>
      <c r="H271" t="s">
        <v>254</v>
      </c>
      <c r="I271">
        <v>36.200000000000003</v>
      </c>
      <c r="J271" t="s">
        <v>255</v>
      </c>
      <c r="K271" t="s">
        <v>34</v>
      </c>
    </row>
    <row r="272" spans="1:11" x14ac:dyDescent="0.5">
      <c r="A272" t="s">
        <v>585</v>
      </c>
      <c r="B272" t="s">
        <v>2817</v>
      </c>
      <c r="C272" t="s">
        <v>586</v>
      </c>
      <c r="D272" s="1">
        <v>1.0800000000000001E-2</v>
      </c>
      <c r="E272">
        <v>35.5</v>
      </c>
      <c r="F272" t="s">
        <v>14</v>
      </c>
      <c r="G272" t="s">
        <v>459</v>
      </c>
      <c r="H272" t="s">
        <v>254</v>
      </c>
      <c r="I272">
        <v>45</v>
      </c>
      <c r="J272" t="s">
        <v>255</v>
      </c>
      <c r="K272" t="s">
        <v>34</v>
      </c>
    </row>
    <row r="273" spans="1:12" x14ac:dyDescent="0.5">
      <c r="A273" t="s">
        <v>587</v>
      </c>
      <c r="B273" t="s">
        <v>2817</v>
      </c>
      <c r="C273" t="s">
        <v>588</v>
      </c>
      <c r="D273" s="1">
        <v>1.54E-2</v>
      </c>
      <c r="E273">
        <v>32.9</v>
      </c>
      <c r="F273" t="s">
        <v>14</v>
      </c>
      <c r="G273" t="s">
        <v>459</v>
      </c>
      <c r="H273" t="s">
        <v>254</v>
      </c>
      <c r="I273">
        <v>45</v>
      </c>
      <c r="J273" t="s">
        <v>255</v>
      </c>
      <c r="K273" t="s">
        <v>34</v>
      </c>
    </row>
    <row r="274" spans="1:12" x14ac:dyDescent="0.5">
      <c r="A274" t="s">
        <v>589</v>
      </c>
      <c r="B274" t="s">
        <v>2817</v>
      </c>
      <c r="C274" t="s">
        <v>590</v>
      </c>
      <c r="D274" s="1">
        <v>1.26E-2</v>
      </c>
      <c r="E274">
        <v>31.7</v>
      </c>
      <c r="F274" t="s">
        <v>14</v>
      </c>
      <c r="G274" t="s">
        <v>254</v>
      </c>
      <c r="H274" t="s">
        <v>254</v>
      </c>
      <c r="I274">
        <v>45</v>
      </c>
      <c r="J274" t="s">
        <v>255</v>
      </c>
      <c r="K274" t="s">
        <v>34</v>
      </c>
    </row>
    <row r="275" spans="1:12" x14ac:dyDescent="0.5">
      <c r="A275" t="s">
        <v>591</v>
      </c>
      <c r="B275" t="s">
        <v>2817</v>
      </c>
      <c r="C275" t="s">
        <v>592</v>
      </c>
      <c r="D275" s="1">
        <v>7.7999999999999996E-3</v>
      </c>
      <c r="E275">
        <v>31.5</v>
      </c>
      <c r="F275" t="s">
        <v>14</v>
      </c>
      <c r="G275" t="s">
        <v>459</v>
      </c>
      <c r="H275" t="s">
        <v>254</v>
      </c>
      <c r="I275">
        <v>45</v>
      </c>
      <c r="J275" t="s">
        <v>255</v>
      </c>
      <c r="K275" t="s">
        <v>34</v>
      </c>
    </row>
    <row r="276" spans="1:12" x14ac:dyDescent="0.5">
      <c r="A276" t="s">
        <v>593</v>
      </c>
      <c r="B276" t="s">
        <v>2817</v>
      </c>
      <c r="C276" t="s">
        <v>594</v>
      </c>
      <c r="D276" t="s">
        <v>28</v>
      </c>
      <c r="E276">
        <v>30.6</v>
      </c>
      <c r="F276" t="s">
        <v>14</v>
      </c>
      <c r="G276" t="s">
        <v>459</v>
      </c>
      <c r="H276" t="s">
        <v>254</v>
      </c>
      <c r="I276">
        <v>45</v>
      </c>
      <c r="J276" t="s">
        <v>255</v>
      </c>
      <c r="K276" t="s">
        <v>34</v>
      </c>
    </row>
    <row r="277" spans="1:12" x14ac:dyDescent="0.5">
      <c r="A277" t="s">
        <v>595</v>
      </c>
      <c r="B277" t="s">
        <v>2817</v>
      </c>
      <c r="C277" t="s">
        <v>596</v>
      </c>
      <c r="D277" t="s">
        <v>28</v>
      </c>
      <c r="E277">
        <v>10.8</v>
      </c>
      <c r="F277" t="s">
        <v>14</v>
      </c>
      <c r="G277" t="s">
        <v>459</v>
      </c>
      <c r="H277" t="s">
        <v>506</v>
      </c>
      <c r="I277">
        <v>6.6</v>
      </c>
      <c r="J277" t="s">
        <v>255</v>
      </c>
      <c r="K277" t="s">
        <v>494</v>
      </c>
      <c r="L277" t="s">
        <v>597</v>
      </c>
    </row>
    <row r="278" spans="1:12" x14ac:dyDescent="0.5">
      <c r="A278" t="s">
        <v>598</v>
      </c>
      <c r="B278" t="s">
        <v>2817</v>
      </c>
      <c r="C278" t="s">
        <v>599</v>
      </c>
      <c r="D278" s="1">
        <v>1.8100000000000002E-2</v>
      </c>
      <c r="E278">
        <v>36.1</v>
      </c>
      <c r="F278" t="s">
        <v>14</v>
      </c>
      <c r="G278" t="s">
        <v>459</v>
      </c>
      <c r="H278" t="s">
        <v>254</v>
      </c>
      <c r="I278">
        <v>36.200000000000003</v>
      </c>
      <c r="J278" t="s">
        <v>255</v>
      </c>
      <c r="K278" t="s">
        <v>34</v>
      </c>
    </row>
    <row r="279" spans="1:12" x14ac:dyDescent="0.5">
      <c r="A279" t="s">
        <v>600</v>
      </c>
      <c r="B279" t="s">
        <v>2817</v>
      </c>
      <c r="C279" t="s">
        <v>601</v>
      </c>
      <c r="D279" s="1">
        <v>1.9599999999999999E-2</v>
      </c>
      <c r="E279">
        <v>29.5</v>
      </c>
      <c r="F279" t="s">
        <v>14</v>
      </c>
      <c r="G279" t="s">
        <v>254</v>
      </c>
      <c r="H279" t="s">
        <v>254</v>
      </c>
      <c r="I279">
        <v>45</v>
      </c>
      <c r="J279" t="s">
        <v>255</v>
      </c>
      <c r="K279" t="s">
        <v>34</v>
      </c>
    </row>
    <row r="280" spans="1:12" x14ac:dyDescent="0.5">
      <c r="A280" t="s">
        <v>602</v>
      </c>
      <c r="B280" t="s">
        <v>2817</v>
      </c>
      <c r="C280" t="s">
        <v>603</v>
      </c>
      <c r="D280" s="1">
        <v>1.3599999999999999E-2</v>
      </c>
      <c r="E280">
        <v>26.1</v>
      </c>
      <c r="F280" t="s">
        <v>14</v>
      </c>
      <c r="G280" t="s">
        <v>254</v>
      </c>
      <c r="H280" t="s">
        <v>254</v>
      </c>
      <c r="I280">
        <v>48.75</v>
      </c>
      <c r="J280" t="s">
        <v>255</v>
      </c>
      <c r="K280" t="s">
        <v>34</v>
      </c>
    </row>
    <row r="281" spans="1:12" x14ac:dyDescent="0.5">
      <c r="A281" t="s">
        <v>604</v>
      </c>
      <c r="B281" t="s">
        <v>2817</v>
      </c>
      <c r="C281" t="s">
        <v>605</v>
      </c>
      <c r="D281" s="1">
        <v>1.5599999999999999E-2</v>
      </c>
      <c r="E281">
        <v>27.6</v>
      </c>
      <c r="F281" t="s">
        <v>14</v>
      </c>
      <c r="G281" t="s">
        <v>459</v>
      </c>
      <c r="H281" t="s">
        <v>254</v>
      </c>
      <c r="I281">
        <v>45</v>
      </c>
      <c r="J281" t="s">
        <v>255</v>
      </c>
      <c r="K281" t="s">
        <v>34</v>
      </c>
    </row>
    <row r="282" spans="1:12" x14ac:dyDescent="0.5">
      <c r="A282" t="s">
        <v>606</v>
      </c>
      <c r="B282" t="s">
        <v>2817</v>
      </c>
      <c r="C282" t="s">
        <v>607</v>
      </c>
      <c r="D282" s="1">
        <v>6.3E-3</v>
      </c>
      <c r="E282">
        <v>27.4</v>
      </c>
      <c r="F282" t="s">
        <v>14</v>
      </c>
      <c r="G282" t="s">
        <v>459</v>
      </c>
      <c r="H282" t="s">
        <v>254</v>
      </c>
      <c r="I282">
        <v>45</v>
      </c>
      <c r="J282" t="s">
        <v>255</v>
      </c>
      <c r="K282" t="s">
        <v>34</v>
      </c>
    </row>
    <row r="283" spans="1:12" x14ac:dyDescent="0.5">
      <c r="A283" t="s">
        <v>608</v>
      </c>
      <c r="B283" t="s">
        <v>2817</v>
      </c>
      <c r="C283" t="s">
        <v>609</v>
      </c>
      <c r="D283" s="1">
        <v>1.49E-2</v>
      </c>
      <c r="E283">
        <v>25.4</v>
      </c>
      <c r="F283" t="s">
        <v>14</v>
      </c>
      <c r="G283" t="s">
        <v>459</v>
      </c>
      <c r="H283" t="s">
        <v>254</v>
      </c>
      <c r="I283">
        <v>45</v>
      </c>
      <c r="J283" t="s">
        <v>255</v>
      </c>
      <c r="K283" t="s">
        <v>34</v>
      </c>
    </row>
    <row r="284" spans="1:12" x14ac:dyDescent="0.5">
      <c r="A284" t="s">
        <v>610</v>
      </c>
      <c r="B284" t="s">
        <v>2817</v>
      </c>
      <c r="C284" t="s">
        <v>611</v>
      </c>
      <c r="D284" s="1">
        <v>1.21E-2</v>
      </c>
      <c r="E284">
        <v>25.2</v>
      </c>
      <c r="F284" t="s">
        <v>14</v>
      </c>
      <c r="G284" t="s">
        <v>459</v>
      </c>
      <c r="H284" t="s">
        <v>254</v>
      </c>
      <c r="I284">
        <v>45</v>
      </c>
      <c r="J284" t="s">
        <v>255</v>
      </c>
      <c r="K284" t="s">
        <v>34</v>
      </c>
    </row>
    <row r="285" spans="1:12" x14ac:dyDescent="0.5">
      <c r="A285" t="s">
        <v>612</v>
      </c>
      <c r="B285" t="s">
        <v>2817</v>
      </c>
      <c r="C285" t="s">
        <v>613</v>
      </c>
      <c r="D285" t="s">
        <v>28</v>
      </c>
      <c r="E285">
        <v>24</v>
      </c>
      <c r="F285" t="s">
        <v>14</v>
      </c>
      <c r="G285" t="s">
        <v>459</v>
      </c>
      <c r="H285" t="s">
        <v>254</v>
      </c>
      <c r="I285">
        <v>45</v>
      </c>
      <c r="J285" t="s">
        <v>255</v>
      </c>
      <c r="K285" t="s">
        <v>34</v>
      </c>
    </row>
    <row r="286" spans="1:12" x14ac:dyDescent="0.5">
      <c r="A286" t="s">
        <v>614</v>
      </c>
      <c r="B286" t="s">
        <v>2817</v>
      </c>
      <c r="C286" t="s">
        <v>615</v>
      </c>
      <c r="D286" s="1">
        <v>1.01E-2</v>
      </c>
      <c r="E286">
        <v>23.3</v>
      </c>
      <c r="F286" t="s">
        <v>14</v>
      </c>
      <c r="G286" t="s">
        <v>459</v>
      </c>
      <c r="H286" t="s">
        <v>254</v>
      </c>
      <c r="I286">
        <v>45</v>
      </c>
      <c r="J286" t="s">
        <v>255</v>
      </c>
      <c r="K286" t="s">
        <v>34</v>
      </c>
    </row>
    <row r="287" spans="1:12" x14ac:dyDescent="0.5">
      <c r="A287" t="s">
        <v>616</v>
      </c>
      <c r="B287" t="s">
        <v>2817</v>
      </c>
      <c r="C287" t="s">
        <v>617</v>
      </c>
      <c r="D287" t="s">
        <v>28</v>
      </c>
      <c r="E287">
        <v>22.1</v>
      </c>
      <c r="F287" t="s">
        <v>14</v>
      </c>
      <c r="G287" t="s">
        <v>254</v>
      </c>
      <c r="H287" t="s">
        <v>254</v>
      </c>
      <c r="I287">
        <v>45</v>
      </c>
      <c r="J287" t="s">
        <v>255</v>
      </c>
      <c r="K287" t="s">
        <v>34</v>
      </c>
    </row>
    <row r="288" spans="1:12" x14ac:dyDescent="0.5">
      <c r="A288" t="s">
        <v>618</v>
      </c>
      <c r="B288" t="s">
        <v>2817</v>
      </c>
      <c r="C288" t="s">
        <v>619</v>
      </c>
      <c r="D288" t="s">
        <v>28</v>
      </c>
      <c r="E288">
        <v>21.9</v>
      </c>
      <c r="F288" t="s">
        <v>14</v>
      </c>
      <c r="G288" t="s">
        <v>459</v>
      </c>
      <c r="H288" t="s">
        <v>254</v>
      </c>
      <c r="I288">
        <v>45</v>
      </c>
      <c r="J288" t="s">
        <v>255</v>
      </c>
      <c r="K288" t="s">
        <v>34</v>
      </c>
    </row>
    <row r="289" spans="1:11" x14ac:dyDescent="0.5">
      <c r="A289" t="s">
        <v>620</v>
      </c>
      <c r="B289" t="s">
        <v>2817</v>
      </c>
      <c r="C289" t="s">
        <v>621</v>
      </c>
      <c r="D289" s="1">
        <v>1.9199999999999998E-2</v>
      </c>
      <c r="E289">
        <v>21.3</v>
      </c>
      <c r="F289" t="s">
        <v>14</v>
      </c>
      <c r="G289" t="s">
        <v>459</v>
      </c>
      <c r="H289" t="s">
        <v>254</v>
      </c>
      <c r="I289">
        <v>45</v>
      </c>
      <c r="J289" t="s">
        <v>255</v>
      </c>
      <c r="K289" t="s">
        <v>34</v>
      </c>
    </row>
    <row r="290" spans="1:11" x14ac:dyDescent="0.5">
      <c r="A290" t="s">
        <v>622</v>
      </c>
      <c r="B290" t="s">
        <v>2817</v>
      </c>
      <c r="C290" t="s">
        <v>623</v>
      </c>
      <c r="D290" s="1">
        <v>2.0999999999999999E-3</v>
      </c>
      <c r="E290">
        <v>20.2</v>
      </c>
      <c r="F290" t="s">
        <v>14</v>
      </c>
      <c r="G290" t="s">
        <v>459</v>
      </c>
      <c r="H290" t="s">
        <v>254</v>
      </c>
      <c r="I290">
        <v>45</v>
      </c>
      <c r="J290" t="s">
        <v>255</v>
      </c>
      <c r="K290" t="s">
        <v>34</v>
      </c>
    </row>
    <row r="291" spans="1:11" x14ac:dyDescent="0.5">
      <c r="A291" t="s">
        <v>624</v>
      </c>
      <c r="B291" t="s">
        <v>2817</v>
      </c>
      <c r="C291" t="s">
        <v>625</v>
      </c>
      <c r="D291" t="s">
        <v>28</v>
      </c>
      <c r="E291">
        <v>19.600000000000001</v>
      </c>
      <c r="F291" t="s">
        <v>14</v>
      </c>
      <c r="G291" t="s">
        <v>459</v>
      </c>
      <c r="H291" t="s">
        <v>254</v>
      </c>
      <c r="I291">
        <v>45</v>
      </c>
      <c r="J291" t="s">
        <v>255</v>
      </c>
      <c r="K291" t="s">
        <v>34</v>
      </c>
    </row>
    <row r="292" spans="1:11" x14ac:dyDescent="0.5">
      <c r="A292" t="s">
        <v>626</v>
      </c>
      <c r="B292" t="s">
        <v>2817</v>
      </c>
      <c r="C292" t="s">
        <v>627</v>
      </c>
      <c r="D292" t="s">
        <v>28</v>
      </c>
      <c r="E292">
        <v>18.600000000000001</v>
      </c>
      <c r="F292" t="s">
        <v>14</v>
      </c>
      <c r="G292" t="s">
        <v>459</v>
      </c>
      <c r="H292" t="s">
        <v>254</v>
      </c>
      <c r="I292">
        <v>45</v>
      </c>
      <c r="J292" t="s">
        <v>255</v>
      </c>
      <c r="K292" t="s">
        <v>34</v>
      </c>
    </row>
    <row r="293" spans="1:11" x14ac:dyDescent="0.5">
      <c r="A293" t="s">
        <v>628</v>
      </c>
      <c r="B293" t="s">
        <v>2817</v>
      </c>
      <c r="C293" t="s">
        <v>629</v>
      </c>
      <c r="D293" s="1">
        <v>1.6500000000000001E-2</v>
      </c>
      <c r="E293">
        <v>18.399999999999999</v>
      </c>
      <c r="F293" t="s">
        <v>14</v>
      </c>
      <c r="G293" t="s">
        <v>459</v>
      </c>
      <c r="H293" t="s">
        <v>254</v>
      </c>
      <c r="I293">
        <v>45</v>
      </c>
      <c r="J293" t="s">
        <v>255</v>
      </c>
      <c r="K293" t="s">
        <v>34</v>
      </c>
    </row>
    <row r="294" spans="1:11" x14ac:dyDescent="0.5">
      <c r="A294" t="s">
        <v>630</v>
      </c>
      <c r="B294" t="s">
        <v>2817</v>
      </c>
      <c r="C294" t="s">
        <v>631</v>
      </c>
      <c r="D294" t="s">
        <v>28</v>
      </c>
      <c r="E294">
        <v>16.8</v>
      </c>
      <c r="F294" t="s">
        <v>14</v>
      </c>
      <c r="G294" t="s">
        <v>459</v>
      </c>
      <c r="H294" t="s">
        <v>254</v>
      </c>
      <c r="I294">
        <v>45</v>
      </c>
      <c r="J294" t="s">
        <v>255</v>
      </c>
      <c r="K294" t="s">
        <v>34</v>
      </c>
    </row>
    <row r="295" spans="1:11" x14ac:dyDescent="0.5">
      <c r="A295" t="s">
        <v>632</v>
      </c>
      <c r="B295" t="s">
        <v>2817</v>
      </c>
      <c r="C295" t="s">
        <v>633</v>
      </c>
      <c r="D295" t="s">
        <v>28</v>
      </c>
      <c r="E295">
        <v>15.7</v>
      </c>
      <c r="F295" t="s">
        <v>14</v>
      </c>
      <c r="G295" t="s">
        <v>459</v>
      </c>
      <c r="H295" t="s">
        <v>254</v>
      </c>
      <c r="I295">
        <v>45</v>
      </c>
      <c r="J295" t="s">
        <v>255</v>
      </c>
      <c r="K295" t="s">
        <v>34</v>
      </c>
    </row>
    <row r="296" spans="1:11" x14ac:dyDescent="0.5">
      <c r="A296" t="s">
        <v>634</v>
      </c>
      <c r="B296" t="s">
        <v>2817</v>
      </c>
      <c r="C296" t="s">
        <v>635</v>
      </c>
      <c r="D296" s="1">
        <v>1.0699999999999999E-2</v>
      </c>
      <c r="E296">
        <v>26.2</v>
      </c>
      <c r="F296" t="s">
        <v>14</v>
      </c>
      <c r="G296" t="s">
        <v>506</v>
      </c>
      <c r="H296" t="s">
        <v>506</v>
      </c>
      <c r="I296">
        <v>29.22</v>
      </c>
      <c r="J296" t="s">
        <v>255</v>
      </c>
      <c r="K296" t="s">
        <v>636</v>
      </c>
    </row>
    <row r="297" spans="1:11" x14ac:dyDescent="0.5">
      <c r="A297" t="s">
        <v>637</v>
      </c>
      <c r="B297" t="s">
        <v>2817</v>
      </c>
      <c r="C297" t="s">
        <v>638</v>
      </c>
      <c r="D297" t="s">
        <v>28</v>
      </c>
      <c r="E297">
        <v>14.9</v>
      </c>
      <c r="F297" t="s">
        <v>14</v>
      </c>
      <c r="G297" t="s">
        <v>459</v>
      </c>
      <c r="H297" t="s">
        <v>254</v>
      </c>
      <c r="I297">
        <v>45</v>
      </c>
      <c r="J297" t="s">
        <v>255</v>
      </c>
      <c r="K297" t="s">
        <v>34</v>
      </c>
    </row>
    <row r="298" spans="1:11" x14ac:dyDescent="0.5">
      <c r="A298" t="s">
        <v>639</v>
      </c>
      <c r="B298" t="s">
        <v>2817</v>
      </c>
      <c r="C298" t="s">
        <v>640</v>
      </c>
      <c r="D298" t="s">
        <v>28</v>
      </c>
      <c r="E298">
        <v>14.9</v>
      </c>
      <c r="F298" t="s">
        <v>14</v>
      </c>
      <c r="G298" t="s">
        <v>459</v>
      </c>
      <c r="H298" t="s">
        <v>254</v>
      </c>
      <c r="I298">
        <v>45</v>
      </c>
      <c r="J298" t="s">
        <v>255</v>
      </c>
      <c r="K298" t="s">
        <v>34</v>
      </c>
    </row>
    <row r="299" spans="1:11" x14ac:dyDescent="0.5">
      <c r="A299" t="s">
        <v>641</v>
      </c>
      <c r="B299" t="s">
        <v>2817</v>
      </c>
      <c r="C299" t="s">
        <v>642</v>
      </c>
      <c r="D299" t="s">
        <v>28</v>
      </c>
      <c r="E299">
        <v>21</v>
      </c>
      <c r="F299" t="s">
        <v>14</v>
      </c>
      <c r="G299" t="s">
        <v>459</v>
      </c>
      <c r="H299" t="s">
        <v>254</v>
      </c>
      <c r="I299">
        <v>36.200000000000003</v>
      </c>
      <c r="J299" t="s">
        <v>255</v>
      </c>
      <c r="K299" t="s">
        <v>34</v>
      </c>
    </row>
    <row r="300" spans="1:11" x14ac:dyDescent="0.5">
      <c r="A300" t="s">
        <v>643</v>
      </c>
      <c r="B300" t="s">
        <v>2817</v>
      </c>
      <c r="C300" t="s">
        <v>644</v>
      </c>
      <c r="D300" s="1">
        <v>1.7500000000000002E-2</v>
      </c>
      <c r="E300">
        <v>11.7</v>
      </c>
      <c r="F300" t="s">
        <v>14</v>
      </c>
      <c r="G300" t="s">
        <v>459</v>
      </c>
      <c r="H300" t="s">
        <v>254</v>
      </c>
      <c r="I300">
        <v>45</v>
      </c>
      <c r="J300" t="s">
        <v>255</v>
      </c>
      <c r="K300" t="s">
        <v>34</v>
      </c>
    </row>
    <row r="301" spans="1:11" x14ac:dyDescent="0.5">
      <c r="A301" t="s">
        <v>645</v>
      </c>
      <c r="B301" t="s">
        <v>2817</v>
      </c>
      <c r="C301" t="s">
        <v>646</v>
      </c>
      <c r="D301" t="s">
        <v>28</v>
      </c>
      <c r="E301">
        <v>9.3000000000000007</v>
      </c>
      <c r="F301" t="s">
        <v>14</v>
      </c>
      <c r="G301" t="s">
        <v>459</v>
      </c>
      <c r="H301" t="s">
        <v>254</v>
      </c>
      <c r="I301">
        <v>45</v>
      </c>
      <c r="J301" t="s">
        <v>255</v>
      </c>
      <c r="K301" t="s">
        <v>34</v>
      </c>
    </row>
    <row r="302" spans="1:11" x14ac:dyDescent="0.5">
      <c r="A302" t="s">
        <v>647</v>
      </c>
      <c r="B302" t="s">
        <v>2817</v>
      </c>
      <c r="C302" t="s">
        <v>648</v>
      </c>
      <c r="D302" t="s">
        <v>28</v>
      </c>
      <c r="E302">
        <v>15.2</v>
      </c>
      <c r="F302" t="s">
        <v>14</v>
      </c>
      <c r="G302" t="s">
        <v>254</v>
      </c>
      <c r="H302" t="s">
        <v>254</v>
      </c>
      <c r="I302">
        <v>31.8</v>
      </c>
      <c r="J302" t="s">
        <v>255</v>
      </c>
      <c r="K302" t="s">
        <v>34</v>
      </c>
    </row>
    <row r="303" spans="1:11" x14ac:dyDescent="0.5">
      <c r="A303" t="s">
        <v>649</v>
      </c>
      <c r="B303" t="s">
        <v>2817</v>
      </c>
      <c r="C303" t="s">
        <v>650</v>
      </c>
      <c r="D303" s="1">
        <v>8.3999999999999995E-3</v>
      </c>
      <c r="E303">
        <v>76.400000000000006</v>
      </c>
      <c r="F303" t="s">
        <v>651</v>
      </c>
      <c r="G303" t="s">
        <v>15</v>
      </c>
      <c r="H303" t="s">
        <v>16</v>
      </c>
      <c r="I303">
        <v>73.34</v>
      </c>
      <c r="J303" t="s">
        <v>652</v>
      </c>
      <c r="K303" t="s">
        <v>652</v>
      </c>
    </row>
    <row r="304" spans="1:11" x14ac:dyDescent="0.5">
      <c r="A304" t="s">
        <v>653</v>
      </c>
      <c r="B304" t="s">
        <v>2817</v>
      </c>
      <c r="C304" t="s">
        <v>654</v>
      </c>
      <c r="D304" s="1">
        <v>2.8299999999999999E-2</v>
      </c>
      <c r="E304">
        <v>61.6</v>
      </c>
      <c r="F304" t="s">
        <v>651</v>
      </c>
      <c r="G304" t="s">
        <v>15</v>
      </c>
      <c r="H304" t="s">
        <v>16</v>
      </c>
      <c r="I304">
        <v>53.13</v>
      </c>
      <c r="J304" t="s">
        <v>652</v>
      </c>
      <c r="K304" t="s">
        <v>652</v>
      </c>
    </row>
    <row r="305" spans="1:11" x14ac:dyDescent="0.5">
      <c r="A305" t="s">
        <v>655</v>
      </c>
      <c r="B305" t="s">
        <v>2817</v>
      </c>
      <c r="C305" t="s">
        <v>656</v>
      </c>
      <c r="D305" s="1">
        <v>6.9999999999999999E-4</v>
      </c>
      <c r="E305">
        <v>88.9</v>
      </c>
      <c r="F305" t="s">
        <v>651</v>
      </c>
      <c r="G305" t="s">
        <v>15</v>
      </c>
      <c r="H305" t="s">
        <v>16</v>
      </c>
      <c r="I305">
        <v>46.58</v>
      </c>
      <c r="J305" t="s">
        <v>652</v>
      </c>
      <c r="K305" t="s">
        <v>652</v>
      </c>
    </row>
    <row r="306" spans="1:11" x14ac:dyDescent="0.5">
      <c r="A306" t="s">
        <v>657</v>
      </c>
      <c r="B306" t="s">
        <v>2817</v>
      </c>
      <c r="C306" t="s">
        <v>658</v>
      </c>
      <c r="D306" t="s">
        <v>28</v>
      </c>
      <c r="E306">
        <v>100</v>
      </c>
      <c r="F306" t="s">
        <v>651</v>
      </c>
      <c r="G306" t="s">
        <v>16</v>
      </c>
      <c r="H306" t="s">
        <v>506</v>
      </c>
      <c r="I306">
        <v>30.05</v>
      </c>
      <c r="J306" t="s">
        <v>652</v>
      </c>
      <c r="K306" t="s">
        <v>652</v>
      </c>
    </row>
    <row r="307" spans="1:11" x14ac:dyDescent="0.5">
      <c r="A307" t="s">
        <v>659</v>
      </c>
      <c r="B307" t="s">
        <v>2817</v>
      </c>
      <c r="C307" t="s">
        <v>660</v>
      </c>
      <c r="D307" s="1">
        <v>7.3000000000000001E-3</v>
      </c>
      <c r="E307">
        <v>64.8</v>
      </c>
      <c r="F307" t="s">
        <v>651</v>
      </c>
      <c r="G307" t="s">
        <v>15</v>
      </c>
      <c r="H307" t="s">
        <v>16</v>
      </c>
      <c r="I307">
        <v>77.489999999999995</v>
      </c>
      <c r="J307" t="s">
        <v>652</v>
      </c>
      <c r="K307" t="s">
        <v>652</v>
      </c>
    </row>
    <row r="308" spans="1:11" x14ac:dyDescent="0.5">
      <c r="A308" t="s">
        <v>661</v>
      </c>
      <c r="B308" t="s">
        <v>2817</v>
      </c>
      <c r="C308" t="s">
        <v>662</v>
      </c>
      <c r="D308" s="1">
        <v>1.8499999999999999E-2</v>
      </c>
      <c r="E308">
        <v>86</v>
      </c>
      <c r="F308" t="s">
        <v>651</v>
      </c>
      <c r="G308" t="s">
        <v>15</v>
      </c>
      <c r="H308" t="s">
        <v>16</v>
      </c>
      <c r="I308">
        <v>47.62</v>
      </c>
      <c r="J308" t="s">
        <v>652</v>
      </c>
      <c r="K308" t="s">
        <v>652</v>
      </c>
    </row>
    <row r="309" spans="1:11" x14ac:dyDescent="0.5">
      <c r="A309" t="s">
        <v>663</v>
      </c>
      <c r="B309" t="s">
        <v>2817</v>
      </c>
      <c r="C309" t="s">
        <v>664</v>
      </c>
      <c r="D309" s="1">
        <v>2.0199999999999999E-2</v>
      </c>
      <c r="E309">
        <v>65.400000000000006</v>
      </c>
      <c r="F309" t="s">
        <v>651</v>
      </c>
      <c r="G309" t="s">
        <v>15</v>
      </c>
      <c r="H309" t="s">
        <v>16</v>
      </c>
      <c r="I309">
        <v>43.42</v>
      </c>
      <c r="J309" t="s">
        <v>652</v>
      </c>
      <c r="K309" t="s">
        <v>652</v>
      </c>
    </row>
    <row r="310" spans="1:11" x14ac:dyDescent="0.5">
      <c r="A310" t="s">
        <v>665</v>
      </c>
      <c r="B310" t="s">
        <v>2817</v>
      </c>
      <c r="C310" t="s">
        <v>666</v>
      </c>
      <c r="D310" t="s">
        <v>28</v>
      </c>
      <c r="E310">
        <v>100</v>
      </c>
      <c r="F310" t="s">
        <v>651</v>
      </c>
      <c r="G310" t="s">
        <v>15</v>
      </c>
      <c r="H310" t="s">
        <v>506</v>
      </c>
      <c r="I310">
        <v>26.23</v>
      </c>
      <c r="J310" t="s">
        <v>652</v>
      </c>
      <c r="K310" t="s">
        <v>652</v>
      </c>
    </row>
    <row r="311" spans="1:11" x14ac:dyDescent="0.5">
      <c r="A311" t="s">
        <v>667</v>
      </c>
      <c r="B311" t="s">
        <v>2817</v>
      </c>
      <c r="C311" t="s">
        <v>668</v>
      </c>
      <c r="D311" s="1">
        <v>1.09E-2</v>
      </c>
      <c r="E311">
        <v>58.3</v>
      </c>
      <c r="F311" t="s">
        <v>651</v>
      </c>
      <c r="G311" t="s">
        <v>15</v>
      </c>
      <c r="H311" t="s">
        <v>16</v>
      </c>
      <c r="I311">
        <v>78.77</v>
      </c>
      <c r="J311" t="s">
        <v>652</v>
      </c>
      <c r="K311" t="s">
        <v>652</v>
      </c>
    </row>
    <row r="312" spans="1:11" x14ac:dyDescent="0.5">
      <c r="A312" t="s">
        <v>669</v>
      </c>
      <c r="B312" t="s">
        <v>2817</v>
      </c>
      <c r="C312" t="s">
        <v>670</v>
      </c>
      <c r="D312" s="1">
        <v>3.5499999999999997E-2</v>
      </c>
      <c r="E312">
        <v>35</v>
      </c>
      <c r="F312" t="s">
        <v>651</v>
      </c>
      <c r="G312" t="s">
        <v>15</v>
      </c>
      <c r="H312" t="s">
        <v>16</v>
      </c>
      <c r="I312">
        <v>78.72</v>
      </c>
      <c r="J312" t="s">
        <v>652</v>
      </c>
      <c r="K312" t="s">
        <v>652</v>
      </c>
    </row>
    <row r="313" spans="1:11" x14ac:dyDescent="0.5">
      <c r="A313" t="s">
        <v>671</v>
      </c>
      <c r="B313" t="s">
        <v>2817</v>
      </c>
      <c r="C313" t="s">
        <v>672</v>
      </c>
      <c r="D313" s="1">
        <v>3.9399999999999998E-2</v>
      </c>
      <c r="E313">
        <v>34.799999999999997</v>
      </c>
      <c r="F313" t="s">
        <v>651</v>
      </c>
      <c r="G313" t="s">
        <v>15</v>
      </c>
      <c r="H313" t="s">
        <v>16</v>
      </c>
      <c r="I313">
        <v>78.36</v>
      </c>
      <c r="J313" t="s">
        <v>652</v>
      </c>
      <c r="K313" t="s">
        <v>652</v>
      </c>
    </row>
    <row r="314" spans="1:11" x14ac:dyDescent="0.5">
      <c r="A314" t="s">
        <v>673</v>
      </c>
      <c r="B314" t="s">
        <v>2817</v>
      </c>
      <c r="C314" t="s">
        <v>674</v>
      </c>
      <c r="D314" s="1">
        <v>1E-3</v>
      </c>
      <c r="E314">
        <v>80</v>
      </c>
      <c r="F314" t="s">
        <v>651</v>
      </c>
      <c r="G314" t="s">
        <v>15</v>
      </c>
      <c r="H314" t="s">
        <v>16</v>
      </c>
      <c r="I314">
        <v>44.9</v>
      </c>
      <c r="J314" t="s">
        <v>652</v>
      </c>
      <c r="K314" t="s">
        <v>652</v>
      </c>
    </row>
    <row r="315" spans="1:11" x14ac:dyDescent="0.5">
      <c r="A315" t="s">
        <v>675</v>
      </c>
      <c r="B315" t="s">
        <v>2817</v>
      </c>
      <c r="C315" t="s">
        <v>676</v>
      </c>
      <c r="D315" s="1">
        <v>2.0999999999999999E-3</v>
      </c>
      <c r="E315">
        <v>86.3</v>
      </c>
      <c r="F315" t="s">
        <v>651</v>
      </c>
      <c r="G315" t="s">
        <v>15</v>
      </c>
      <c r="H315" t="s">
        <v>506</v>
      </c>
      <c r="I315">
        <v>35.89</v>
      </c>
      <c r="J315" t="s">
        <v>652</v>
      </c>
      <c r="K315" t="s">
        <v>652</v>
      </c>
    </row>
    <row r="316" spans="1:11" x14ac:dyDescent="0.5">
      <c r="A316" t="s">
        <v>677</v>
      </c>
      <c r="B316" t="s">
        <v>2817</v>
      </c>
      <c r="C316" t="s">
        <v>678</v>
      </c>
      <c r="D316" s="1">
        <v>2.1899999999999999E-2</v>
      </c>
      <c r="E316">
        <v>66.599999999999994</v>
      </c>
      <c r="F316" t="s">
        <v>651</v>
      </c>
      <c r="G316" t="s">
        <v>15</v>
      </c>
      <c r="H316" t="s">
        <v>32</v>
      </c>
      <c r="I316">
        <v>29.16</v>
      </c>
      <c r="J316" t="s">
        <v>652</v>
      </c>
      <c r="K316" t="s">
        <v>652</v>
      </c>
    </row>
    <row r="317" spans="1:11" x14ac:dyDescent="0.5">
      <c r="A317" t="s">
        <v>679</v>
      </c>
      <c r="B317" t="s">
        <v>2817</v>
      </c>
      <c r="C317" t="s">
        <v>680</v>
      </c>
      <c r="D317" s="1">
        <v>2.0299999999999999E-2</v>
      </c>
      <c r="E317">
        <v>43.5</v>
      </c>
      <c r="F317" t="s">
        <v>651</v>
      </c>
      <c r="G317" t="s">
        <v>15</v>
      </c>
      <c r="H317" t="s">
        <v>16</v>
      </c>
      <c r="I317">
        <v>61.47</v>
      </c>
      <c r="J317" t="s">
        <v>652</v>
      </c>
      <c r="K317" t="s">
        <v>652</v>
      </c>
    </row>
    <row r="318" spans="1:11" x14ac:dyDescent="0.5">
      <c r="A318" t="s">
        <v>681</v>
      </c>
      <c r="B318" t="s">
        <v>2817</v>
      </c>
      <c r="C318" t="s">
        <v>682</v>
      </c>
      <c r="D318" s="1">
        <v>8.9999999999999993E-3</v>
      </c>
      <c r="E318">
        <v>70.3</v>
      </c>
      <c r="F318" t="s">
        <v>651</v>
      </c>
      <c r="G318" t="s">
        <v>15</v>
      </c>
      <c r="H318" t="s">
        <v>16</v>
      </c>
      <c r="I318">
        <v>55.64</v>
      </c>
      <c r="J318" t="s">
        <v>652</v>
      </c>
      <c r="K318" t="s">
        <v>652</v>
      </c>
    </row>
    <row r="319" spans="1:11" x14ac:dyDescent="0.5">
      <c r="A319" t="s">
        <v>683</v>
      </c>
      <c r="B319" t="s">
        <v>2817</v>
      </c>
      <c r="C319" t="s">
        <v>684</v>
      </c>
      <c r="D319" s="1">
        <v>6.0000000000000001E-3</v>
      </c>
      <c r="E319">
        <v>78.3</v>
      </c>
      <c r="F319" t="s">
        <v>651</v>
      </c>
      <c r="G319" t="s">
        <v>15</v>
      </c>
      <c r="H319" t="s">
        <v>16</v>
      </c>
      <c r="I319">
        <v>43.3</v>
      </c>
      <c r="J319" t="s">
        <v>652</v>
      </c>
      <c r="K319" t="s">
        <v>652</v>
      </c>
    </row>
    <row r="320" spans="1:11" x14ac:dyDescent="0.5">
      <c r="A320" t="s">
        <v>685</v>
      </c>
      <c r="B320" t="s">
        <v>2817</v>
      </c>
      <c r="C320" t="s">
        <v>686</v>
      </c>
      <c r="D320" s="1">
        <v>5.0000000000000001E-3</v>
      </c>
      <c r="E320">
        <v>86</v>
      </c>
      <c r="F320" t="s">
        <v>651</v>
      </c>
      <c r="G320" t="s">
        <v>15</v>
      </c>
      <c r="H320" t="s">
        <v>32</v>
      </c>
      <c r="I320">
        <v>31.98</v>
      </c>
      <c r="J320" t="s">
        <v>652</v>
      </c>
      <c r="K320" t="s">
        <v>652</v>
      </c>
    </row>
    <row r="321" spans="1:11" x14ac:dyDescent="0.5">
      <c r="A321" t="s">
        <v>687</v>
      </c>
      <c r="B321" t="s">
        <v>2817</v>
      </c>
      <c r="C321" t="s">
        <v>688</v>
      </c>
      <c r="D321" s="1">
        <v>8.0999999999999996E-3</v>
      </c>
      <c r="E321">
        <v>87.5</v>
      </c>
      <c r="F321" t="s">
        <v>651</v>
      </c>
      <c r="G321" t="s">
        <v>15</v>
      </c>
      <c r="H321" t="s">
        <v>506</v>
      </c>
      <c r="I321">
        <v>29.71</v>
      </c>
      <c r="J321" t="s">
        <v>652</v>
      </c>
      <c r="K321" t="s">
        <v>652</v>
      </c>
    </row>
    <row r="322" spans="1:11" x14ac:dyDescent="0.5">
      <c r="A322" t="s">
        <v>689</v>
      </c>
      <c r="B322" t="s">
        <v>2817</v>
      </c>
      <c r="C322" t="s">
        <v>690</v>
      </c>
      <c r="D322" s="1">
        <v>3.6999999999999998E-2</v>
      </c>
      <c r="E322">
        <v>34</v>
      </c>
      <c r="F322" t="s">
        <v>651</v>
      </c>
      <c r="G322" t="s">
        <v>15</v>
      </c>
      <c r="H322" t="s">
        <v>16</v>
      </c>
      <c r="I322">
        <v>72.14</v>
      </c>
      <c r="J322" t="s">
        <v>652</v>
      </c>
      <c r="K322" t="s">
        <v>652</v>
      </c>
    </row>
    <row r="323" spans="1:11" x14ac:dyDescent="0.5">
      <c r="A323" t="s">
        <v>691</v>
      </c>
      <c r="B323" t="s">
        <v>2817</v>
      </c>
      <c r="C323" t="s">
        <v>692</v>
      </c>
      <c r="D323" s="1">
        <v>2.01E-2</v>
      </c>
      <c r="E323">
        <v>39.299999999999997</v>
      </c>
      <c r="F323" t="s">
        <v>651</v>
      </c>
      <c r="G323" t="s">
        <v>15</v>
      </c>
      <c r="H323" t="s">
        <v>16</v>
      </c>
      <c r="I323">
        <v>64.459999999999994</v>
      </c>
      <c r="J323" t="s">
        <v>652</v>
      </c>
      <c r="K323" t="s">
        <v>652</v>
      </c>
    </row>
    <row r="324" spans="1:11" x14ac:dyDescent="0.5">
      <c r="A324" t="s">
        <v>693</v>
      </c>
      <c r="B324" t="s">
        <v>2817</v>
      </c>
      <c r="C324" t="s">
        <v>694</v>
      </c>
      <c r="D324" s="1">
        <v>3.7400000000000003E-2</v>
      </c>
      <c r="E324">
        <v>40.5</v>
      </c>
      <c r="F324" t="s">
        <v>651</v>
      </c>
      <c r="G324" t="s">
        <v>15</v>
      </c>
      <c r="H324" t="s">
        <v>16</v>
      </c>
      <c r="I324">
        <v>62.17</v>
      </c>
      <c r="J324" t="s">
        <v>652</v>
      </c>
      <c r="K324" t="s">
        <v>652</v>
      </c>
    </row>
    <row r="325" spans="1:11" x14ac:dyDescent="0.5">
      <c r="A325" t="s">
        <v>695</v>
      </c>
      <c r="B325" t="s">
        <v>2817</v>
      </c>
      <c r="C325" t="s">
        <v>696</v>
      </c>
      <c r="D325" t="s">
        <v>28</v>
      </c>
      <c r="E325">
        <v>82.1</v>
      </c>
      <c r="F325" t="s">
        <v>651</v>
      </c>
      <c r="G325" t="s">
        <v>15</v>
      </c>
      <c r="H325" t="s">
        <v>32</v>
      </c>
      <c r="I325">
        <v>35.54</v>
      </c>
      <c r="J325" t="s">
        <v>652</v>
      </c>
      <c r="K325" t="s">
        <v>652</v>
      </c>
    </row>
    <row r="326" spans="1:11" x14ac:dyDescent="0.5">
      <c r="A326" t="s">
        <v>697</v>
      </c>
      <c r="B326" t="s">
        <v>2817</v>
      </c>
      <c r="C326" t="s">
        <v>698</v>
      </c>
      <c r="D326" s="1">
        <v>1.3899999999999999E-2</v>
      </c>
      <c r="E326">
        <v>76.599999999999994</v>
      </c>
      <c r="F326" t="s">
        <v>651</v>
      </c>
      <c r="G326" t="s">
        <v>15</v>
      </c>
      <c r="H326" t="s">
        <v>16</v>
      </c>
      <c r="I326">
        <v>42.97</v>
      </c>
      <c r="J326" t="s">
        <v>652</v>
      </c>
      <c r="K326" t="s">
        <v>652</v>
      </c>
    </row>
    <row r="327" spans="1:11" x14ac:dyDescent="0.5">
      <c r="A327" t="s">
        <v>699</v>
      </c>
      <c r="B327" t="s">
        <v>2817</v>
      </c>
      <c r="C327" t="s">
        <v>700</v>
      </c>
      <c r="D327" s="1">
        <v>3.5000000000000001E-3</v>
      </c>
      <c r="E327">
        <v>83</v>
      </c>
      <c r="F327" t="s">
        <v>651</v>
      </c>
      <c r="G327" t="s">
        <v>15</v>
      </c>
      <c r="H327" t="s">
        <v>506</v>
      </c>
      <c r="I327">
        <v>31.44</v>
      </c>
      <c r="J327" t="s">
        <v>652</v>
      </c>
      <c r="K327" t="s">
        <v>652</v>
      </c>
    </row>
    <row r="328" spans="1:11" x14ac:dyDescent="0.5">
      <c r="A328" t="s">
        <v>701</v>
      </c>
      <c r="B328" t="s">
        <v>2817</v>
      </c>
      <c r="C328" t="s">
        <v>702</v>
      </c>
      <c r="D328" s="1">
        <v>3.5000000000000001E-3</v>
      </c>
      <c r="E328">
        <v>79.099999999999994</v>
      </c>
      <c r="F328" t="s">
        <v>651</v>
      </c>
      <c r="G328" t="s">
        <v>15</v>
      </c>
      <c r="H328" t="s">
        <v>32</v>
      </c>
      <c r="I328">
        <v>35.42</v>
      </c>
      <c r="J328" t="s">
        <v>652</v>
      </c>
      <c r="K328" t="s">
        <v>652</v>
      </c>
    </row>
    <row r="329" spans="1:11" x14ac:dyDescent="0.5">
      <c r="A329" t="s">
        <v>703</v>
      </c>
      <c r="B329" t="s">
        <v>2817</v>
      </c>
      <c r="C329" t="s">
        <v>704</v>
      </c>
      <c r="D329" s="1">
        <v>2.12E-2</v>
      </c>
      <c r="E329">
        <v>42.9</v>
      </c>
      <c r="F329" t="s">
        <v>651</v>
      </c>
      <c r="G329" t="s">
        <v>15</v>
      </c>
      <c r="H329" t="s">
        <v>16</v>
      </c>
      <c r="I329">
        <v>53.42</v>
      </c>
      <c r="J329" t="s">
        <v>652</v>
      </c>
      <c r="K329" t="s">
        <v>652</v>
      </c>
    </row>
    <row r="330" spans="1:11" x14ac:dyDescent="0.5">
      <c r="A330" t="s">
        <v>705</v>
      </c>
      <c r="B330" t="s">
        <v>2817</v>
      </c>
      <c r="C330" t="s">
        <v>706</v>
      </c>
      <c r="D330" s="1">
        <v>3.6200000000000003E-2</v>
      </c>
      <c r="E330">
        <v>45.9</v>
      </c>
      <c r="F330" t="s">
        <v>651</v>
      </c>
      <c r="G330" t="s">
        <v>15</v>
      </c>
      <c r="H330" t="s">
        <v>16</v>
      </c>
      <c r="I330">
        <v>49.04</v>
      </c>
      <c r="J330" t="s">
        <v>652</v>
      </c>
      <c r="K330" t="s">
        <v>652</v>
      </c>
    </row>
    <row r="331" spans="1:11" x14ac:dyDescent="0.5">
      <c r="A331" t="s">
        <v>707</v>
      </c>
      <c r="B331" t="s">
        <v>2817</v>
      </c>
      <c r="C331" t="s">
        <v>708</v>
      </c>
      <c r="D331" s="1">
        <v>6.9999999999999999E-4</v>
      </c>
      <c r="E331">
        <v>78.5</v>
      </c>
      <c r="F331" t="s">
        <v>651</v>
      </c>
      <c r="G331" t="s">
        <v>15</v>
      </c>
      <c r="H331" t="s">
        <v>32</v>
      </c>
      <c r="I331">
        <v>34.520000000000003</v>
      </c>
      <c r="J331" t="s">
        <v>652</v>
      </c>
      <c r="K331" t="s">
        <v>652</v>
      </c>
    </row>
    <row r="332" spans="1:11" x14ac:dyDescent="0.5">
      <c r="A332" t="s">
        <v>709</v>
      </c>
      <c r="B332" t="s">
        <v>2817</v>
      </c>
      <c r="C332" t="s">
        <v>710</v>
      </c>
      <c r="D332" s="1">
        <v>3.4599999999999999E-2</v>
      </c>
      <c r="E332">
        <v>33.4</v>
      </c>
      <c r="F332" t="s">
        <v>651</v>
      </c>
      <c r="G332" t="s">
        <v>15</v>
      </c>
      <c r="H332" t="s">
        <v>16</v>
      </c>
      <c r="I332">
        <v>65.400000000000006</v>
      </c>
      <c r="J332" t="s">
        <v>652</v>
      </c>
      <c r="K332" t="s">
        <v>652</v>
      </c>
    </row>
    <row r="333" spans="1:11" x14ac:dyDescent="0.5">
      <c r="A333" t="s">
        <v>711</v>
      </c>
      <c r="B333" t="s">
        <v>2817</v>
      </c>
      <c r="C333" t="s">
        <v>712</v>
      </c>
      <c r="D333" s="1">
        <v>2.3800000000000002E-2</v>
      </c>
      <c r="E333">
        <v>54.5</v>
      </c>
      <c r="F333" t="s">
        <v>651</v>
      </c>
      <c r="G333" t="s">
        <v>15</v>
      </c>
      <c r="H333" t="s">
        <v>32</v>
      </c>
      <c r="I333">
        <v>32.04</v>
      </c>
      <c r="J333" t="s">
        <v>652</v>
      </c>
      <c r="K333" t="s">
        <v>652</v>
      </c>
    </row>
    <row r="334" spans="1:11" x14ac:dyDescent="0.5">
      <c r="A334" t="s">
        <v>713</v>
      </c>
      <c r="B334" t="s">
        <v>2817</v>
      </c>
      <c r="C334" t="s">
        <v>714</v>
      </c>
      <c r="D334" s="1">
        <v>4.0000000000000001E-3</v>
      </c>
      <c r="E334">
        <v>75</v>
      </c>
      <c r="F334" t="s">
        <v>651</v>
      </c>
      <c r="G334" t="s">
        <v>15</v>
      </c>
      <c r="H334" t="s">
        <v>32</v>
      </c>
      <c r="I334">
        <v>34.96</v>
      </c>
      <c r="J334" t="s">
        <v>652</v>
      </c>
      <c r="K334" t="s">
        <v>652</v>
      </c>
    </row>
    <row r="335" spans="1:11" x14ac:dyDescent="0.5">
      <c r="A335" t="s">
        <v>715</v>
      </c>
      <c r="B335" t="s">
        <v>2817</v>
      </c>
      <c r="C335" t="s">
        <v>716</v>
      </c>
      <c r="D335" s="1">
        <v>4.7100000000000003E-2</v>
      </c>
      <c r="E335">
        <v>39.9</v>
      </c>
      <c r="F335" t="s">
        <v>651</v>
      </c>
      <c r="G335" t="s">
        <v>15</v>
      </c>
      <c r="H335" t="s">
        <v>16</v>
      </c>
      <c r="I335">
        <v>51.96</v>
      </c>
      <c r="J335" t="s">
        <v>652</v>
      </c>
      <c r="K335" t="s">
        <v>652</v>
      </c>
    </row>
    <row r="336" spans="1:11" x14ac:dyDescent="0.5">
      <c r="A336" t="s">
        <v>717</v>
      </c>
      <c r="B336" t="s">
        <v>2817</v>
      </c>
      <c r="C336" t="s">
        <v>718</v>
      </c>
      <c r="D336" s="1">
        <v>2.1899999999999999E-2</v>
      </c>
      <c r="E336">
        <v>37.4</v>
      </c>
      <c r="F336" t="s">
        <v>651</v>
      </c>
      <c r="G336" t="s">
        <v>15</v>
      </c>
      <c r="H336" t="s">
        <v>16</v>
      </c>
      <c r="I336">
        <v>55.03</v>
      </c>
      <c r="J336" t="s">
        <v>652</v>
      </c>
      <c r="K336" t="s">
        <v>652</v>
      </c>
    </row>
    <row r="337" spans="1:11" x14ac:dyDescent="0.5">
      <c r="A337" t="s">
        <v>719</v>
      </c>
      <c r="B337" t="s">
        <v>2817</v>
      </c>
      <c r="C337" t="s">
        <v>720</v>
      </c>
      <c r="D337" s="1">
        <v>3.3500000000000002E-2</v>
      </c>
      <c r="E337">
        <v>39.9</v>
      </c>
      <c r="F337" t="s">
        <v>651</v>
      </c>
      <c r="G337" t="s">
        <v>15</v>
      </c>
      <c r="H337" t="s">
        <v>16</v>
      </c>
      <c r="I337">
        <v>49.23</v>
      </c>
      <c r="J337" t="s">
        <v>652</v>
      </c>
      <c r="K337" t="s">
        <v>652</v>
      </c>
    </row>
    <row r="338" spans="1:11" x14ac:dyDescent="0.5">
      <c r="A338" t="s">
        <v>721</v>
      </c>
      <c r="B338" t="s">
        <v>2817</v>
      </c>
      <c r="C338" t="s">
        <v>722</v>
      </c>
      <c r="D338" s="1">
        <v>2.9399999999999999E-2</v>
      </c>
      <c r="E338">
        <v>60.4</v>
      </c>
      <c r="F338" t="s">
        <v>651</v>
      </c>
      <c r="G338" t="s">
        <v>15</v>
      </c>
      <c r="H338" t="s">
        <v>506</v>
      </c>
      <c r="I338">
        <v>20.51</v>
      </c>
      <c r="J338" t="s">
        <v>652</v>
      </c>
      <c r="K338" t="s">
        <v>652</v>
      </c>
    </row>
    <row r="339" spans="1:11" x14ac:dyDescent="0.5">
      <c r="A339" t="s">
        <v>723</v>
      </c>
      <c r="B339" t="s">
        <v>2817</v>
      </c>
      <c r="C339" t="s">
        <v>724</v>
      </c>
      <c r="D339" s="1">
        <v>2.06E-2</v>
      </c>
      <c r="E339">
        <v>51.1</v>
      </c>
      <c r="F339" t="s">
        <v>651</v>
      </c>
      <c r="G339" t="s">
        <v>15</v>
      </c>
      <c r="H339" t="s">
        <v>32</v>
      </c>
      <c r="I339">
        <v>33.159999999999997</v>
      </c>
      <c r="J339" t="s">
        <v>652</v>
      </c>
      <c r="K339" t="s">
        <v>652</v>
      </c>
    </row>
    <row r="340" spans="1:11" x14ac:dyDescent="0.5">
      <c r="A340" t="s">
        <v>725</v>
      </c>
      <c r="B340" t="s">
        <v>2817</v>
      </c>
      <c r="C340" t="s">
        <v>726</v>
      </c>
      <c r="D340" s="1">
        <v>2.8400000000000002E-2</v>
      </c>
      <c r="E340">
        <v>43.1</v>
      </c>
      <c r="F340" t="s">
        <v>651</v>
      </c>
      <c r="G340" t="s">
        <v>15</v>
      </c>
      <c r="H340" t="s">
        <v>16</v>
      </c>
      <c r="I340">
        <v>44.33</v>
      </c>
      <c r="J340" t="s">
        <v>652</v>
      </c>
      <c r="K340" t="s">
        <v>652</v>
      </c>
    </row>
    <row r="341" spans="1:11" x14ac:dyDescent="0.5">
      <c r="A341" t="s">
        <v>727</v>
      </c>
      <c r="B341" t="s">
        <v>2817</v>
      </c>
      <c r="C341" t="s">
        <v>728</v>
      </c>
      <c r="D341" s="1">
        <v>2.7900000000000001E-2</v>
      </c>
      <c r="E341">
        <v>44</v>
      </c>
      <c r="F341" t="s">
        <v>651</v>
      </c>
      <c r="G341" t="s">
        <v>15</v>
      </c>
      <c r="H341" t="s">
        <v>16</v>
      </c>
      <c r="I341">
        <v>42.69</v>
      </c>
      <c r="J341" t="s">
        <v>652</v>
      </c>
      <c r="K341" t="s">
        <v>652</v>
      </c>
    </row>
    <row r="342" spans="1:11" x14ac:dyDescent="0.5">
      <c r="A342" t="s">
        <v>729</v>
      </c>
      <c r="B342" t="s">
        <v>2817</v>
      </c>
      <c r="C342" t="s">
        <v>730</v>
      </c>
      <c r="D342" s="1">
        <v>8.6999999999999994E-3</v>
      </c>
      <c r="E342">
        <v>56.1</v>
      </c>
      <c r="F342" t="s">
        <v>651</v>
      </c>
      <c r="G342" t="s">
        <v>15</v>
      </c>
      <c r="H342" t="s">
        <v>16</v>
      </c>
      <c r="I342">
        <v>57.56</v>
      </c>
      <c r="J342" t="s">
        <v>652</v>
      </c>
      <c r="K342" t="s">
        <v>652</v>
      </c>
    </row>
    <row r="343" spans="1:11" x14ac:dyDescent="0.5">
      <c r="A343" t="s">
        <v>731</v>
      </c>
      <c r="B343" t="s">
        <v>2817</v>
      </c>
      <c r="C343" t="s">
        <v>732</v>
      </c>
      <c r="D343" s="1">
        <v>7.17E-2</v>
      </c>
      <c r="E343">
        <v>42.4</v>
      </c>
      <c r="F343" t="s">
        <v>651</v>
      </c>
      <c r="G343" t="s">
        <v>15</v>
      </c>
      <c r="H343" t="s">
        <v>16</v>
      </c>
      <c r="I343">
        <v>44.71</v>
      </c>
      <c r="J343" t="s">
        <v>652</v>
      </c>
      <c r="K343" t="s">
        <v>652</v>
      </c>
    </row>
    <row r="344" spans="1:11" x14ac:dyDescent="0.5">
      <c r="A344" t="s">
        <v>733</v>
      </c>
      <c r="B344" t="s">
        <v>2817</v>
      </c>
      <c r="C344" t="s">
        <v>734</v>
      </c>
      <c r="D344" t="s">
        <v>28</v>
      </c>
      <c r="E344">
        <v>71.5</v>
      </c>
      <c r="F344" t="s">
        <v>651</v>
      </c>
      <c r="G344" t="s">
        <v>16</v>
      </c>
      <c r="H344" t="s">
        <v>32</v>
      </c>
      <c r="I344">
        <v>35.82</v>
      </c>
      <c r="J344" t="s">
        <v>652</v>
      </c>
      <c r="K344" t="s">
        <v>652</v>
      </c>
    </row>
    <row r="345" spans="1:11" x14ac:dyDescent="0.5">
      <c r="A345" t="s">
        <v>735</v>
      </c>
      <c r="B345" t="s">
        <v>2817</v>
      </c>
      <c r="C345" t="s">
        <v>736</v>
      </c>
      <c r="D345" s="1">
        <v>3.0300000000000001E-2</v>
      </c>
      <c r="E345">
        <v>34.9</v>
      </c>
      <c r="F345" t="s">
        <v>651</v>
      </c>
      <c r="G345" t="s">
        <v>15</v>
      </c>
      <c r="H345" t="s">
        <v>16</v>
      </c>
      <c r="I345">
        <v>54.3</v>
      </c>
      <c r="J345" t="s">
        <v>652</v>
      </c>
      <c r="K345" t="s">
        <v>652</v>
      </c>
    </row>
    <row r="346" spans="1:11" x14ac:dyDescent="0.5">
      <c r="A346" t="s">
        <v>737</v>
      </c>
      <c r="B346" t="s">
        <v>2817</v>
      </c>
      <c r="C346" t="s">
        <v>738</v>
      </c>
      <c r="D346" s="1">
        <v>3.9E-2</v>
      </c>
      <c r="E346">
        <v>42.1</v>
      </c>
      <c r="F346" t="s">
        <v>651</v>
      </c>
      <c r="G346" t="s">
        <v>15</v>
      </c>
      <c r="H346" t="s">
        <v>16</v>
      </c>
      <c r="I346">
        <v>42.89</v>
      </c>
      <c r="J346" t="s">
        <v>652</v>
      </c>
      <c r="K346" t="s">
        <v>652</v>
      </c>
    </row>
    <row r="347" spans="1:11" x14ac:dyDescent="0.5">
      <c r="A347" t="s">
        <v>739</v>
      </c>
      <c r="B347" t="s">
        <v>2817</v>
      </c>
      <c r="C347" t="s">
        <v>740</v>
      </c>
      <c r="D347" s="1">
        <v>2.7E-2</v>
      </c>
      <c r="E347">
        <v>41.9</v>
      </c>
      <c r="F347" t="s">
        <v>651</v>
      </c>
      <c r="G347" t="s">
        <v>15</v>
      </c>
      <c r="H347" t="s">
        <v>16</v>
      </c>
      <c r="I347">
        <v>42.93</v>
      </c>
      <c r="J347" t="s">
        <v>652</v>
      </c>
      <c r="K347" t="s">
        <v>652</v>
      </c>
    </row>
    <row r="348" spans="1:11" x14ac:dyDescent="0.5">
      <c r="A348" t="s">
        <v>741</v>
      </c>
      <c r="B348" t="s">
        <v>2817</v>
      </c>
      <c r="C348" t="s">
        <v>742</v>
      </c>
      <c r="D348" s="1">
        <v>1.0500000000000001E-2</v>
      </c>
      <c r="E348">
        <v>67.099999999999994</v>
      </c>
      <c r="F348" t="s">
        <v>651</v>
      </c>
      <c r="G348" t="s">
        <v>15</v>
      </c>
      <c r="H348" t="s">
        <v>16</v>
      </c>
      <c r="I348">
        <v>39.1</v>
      </c>
      <c r="J348" t="s">
        <v>652</v>
      </c>
      <c r="K348" t="s">
        <v>652</v>
      </c>
    </row>
    <row r="349" spans="1:11" x14ac:dyDescent="0.5">
      <c r="A349" t="s">
        <v>743</v>
      </c>
      <c r="B349" t="s">
        <v>2817</v>
      </c>
      <c r="C349" t="s">
        <v>744</v>
      </c>
      <c r="D349" s="1">
        <v>3.3599999999999998E-2</v>
      </c>
      <c r="E349">
        <v>24.1</v>
      </c>
      <c r="F349" t="s">
        <v>651</v>
      </c>
      <c r="G349" t="s">
        <v>15</v>
      </c>
      <c r="H349" t="s">
        <v>16</v>
      </c>
      <c r="I349">
        <v>65.349999999999994</v>
      </c>
      <c r="J349" t="s">
        <v>652</v>
      </c>
      <c r="K349" t="s">
        <v>652</v>
      </c>
    </row>
    <row r="350" spans="1:11" x14ac:dyDescent="0.5">
      <c r="A350" t="s">
        <v>745</v>
      </c>
      <c r="B350" t="s">
        <v>2817</v>
      </c>
      <c r="C350" t="s">
        <v>746</v>
      </c>
      <c r="D350" s="1">
        <v>2.0299999999999999E-2</v>
      </c>
      <c r="E350">
        <v>43.4</v>
      </c>
      <c r="F350" t="s">
        <v>651</v>
      </c>
      <c r="G350" t="s">
        <v>15</v>
      </c>
      <c r="H350" t="s">
        <v>32</v>
      </c>
      <c r="I350">
        <v>37.17</v>
      </c>
      <c r="J350" t="s">
        <v>652</v>
      </c>
      <c r="K350" t="s">
        <v>652</v>
      </c>
    </row>
    <row r="351" spans="1:11" x14ac:dyDescent="0.5">
      <c r="A351" t="s">
        <v>747</v>
      </c>
      <c r="B351" t="s">
        <v>2817</v>
      </c>
      <c r="C351" t="s">
        <v>748</v>
      </c>
      <c r="D351" s="1">
        <v>3.2099999999999997E-2</v>
      </c>
      <c r="E351">
        <v>34</v>
      </c>
      <c r="F351" t="s">
        <v>651</v>
      </c>
      <c r="G351" t="s">
        <v>15</v>
      </c>
      <c r="H351" t="s">
        <v>16</v>
      </c>
      <c r="I351">
        <v>48.56</v>
      </c>
      <c r="J351" t="s">
        <v>652</v>
      </c>
      <c r="K351" t="s">
        <v>652</v>
      </c>
    </row>
    <row r="352" spans="1:11" x14ac:dyDescent="0.5">
      <c r="A352" t="s">
        <v>749</v>
      </c>
      <c r="B352" t="s">
        <v>2817</v>
      </c>
      <c r="C352" t="s">
        <v>750</v>
      </c>
      <c r="D352" s="1">
        <v>1.2E-2</v>
      </c>
      <c r="E352">
        <v>66</v>
      </c>
      <c r="F352" t="s">
        <v>651</v>
      </c>
      <c r="G352" t="s">
        <v>15</v>
      </c>
      <c r="H352" t="s">
        <v>32</v>
      </c>
      <c r="I352">
        <v>32.200000000000003</v>
      </c>
      <c r="J352" t="s">
        <v>652</v>
      </c>
      <c r="K352" t="s">
        <v>652</v>
      </c>
    </row>
    <row r="353" spans="1:11" x14ac:dyDescent="0.5">
      <c r="A353" t="s">
        <v>751</v>
      </c>
      <c r="B353" t="s">
        <v>2817</v>
      </c>
      <c r="C353" t="s">
        <v>752</v>
      </c>
      <c r="D353" s="1">
        <v>4.53E-2</v>
      </c>
      <c r="E353">
        <v>23.4</v>
      </c>
      <c r="F353" t="s">
        <v>651</v>
      </c>
      <c r="G353" t="s">
        <v>15</v>
      </c>
      <c r="H353" t="s">
        <v>16</v>
      </c>
      <c r="I353">
        <v>59.45</v>
      </c>
      <c r="J353" t="s">
        <v>652</v>
      </c>
      <c r="K353" t="s">
        <v>652</v>
      </c>
    </row>
    <row r="354" spans="1:11" x14ac:dyDescent="0.5">
      <c r="A354" t="s">
        <v>753</v>
      </c>
      <c r="B354" t="s">
        <v>2817</v>
      </c>
      <c r="C354" t="s">
        <v>754</v>
      </c>
      <c r="D354" s="1">
        <v>3.4799999999999998E-2</v>
      </c>
      <c r="E354">
        <v>33.299999999999997</v>
      </c>
      <c r="F354" t="s">
        <v>651</v>
      </c>
      <c r="G354" t="s">
        <v>15</v>
      </c>
      <c r="H354" t="s">
        <v>16</v>
      </c>
      <c r="I354">
        <v>43.56</v>
      </c>
      <c r="J354" t="s">
        <v>652</v>
      </c>
      <c r="K354" t="s">
        <v>652</v>
      </c>
    </row>
    <row r="355" spans="1:11" x14ac:dyDescent="0.5">
      <c r="A355" t="s">
        <v>755</v>
      </c>
      <c r="B355" t="s">
        <v>2817</v>
      </c>
      <c r="C355" t="s">
        <v>756</v>
      </c>
      <c r="D355" s="1">
        <v>4.6800000000000001E-2</v>
      </c>
      <c r="E355">
        <v>16.5</v>
      </c>
      <c r="F355" t="s">
        <v>651</v>
      </c>
      <c r="G355" t="s">
        <v>15</v>
      </c>
      <c r="H355" t="s">
        <v>16</v>
      </c>
      <c r="I355">
        <v>66.959999999999994</v>
      </c>
      <c r="J355" t="s">
        <v>652</v>
      </c>
      <c r="K355" t="s">
        <v>652</v>
      </c>
    </row>
    <row r="356" spans="1:11" x14ac:dyDescent="0.5">
      <c r="A356" t="s">
        <v>757</v>
      </c>
      <c r="B356" t="s">
        <v>2817</v>
      </c>
      <c r="C356" t="s">
        <v>758</v>
      </c>
      <c r="D356" s="1">
        <v>7.7999999999999996E-3</v>
      </c>
      <c r="E356">
        <v>54.4</v>
      </c>
      <c r="F356" t="s">
        <v>651</v>
      </c>
      <c r="G356" t="s">
        <v>15</v>
      </c>
      <c r="H356" t="s">
        <v>16</v>
      </c>
      <c r="I356">
        <v>45.55</v>
      </c>
      <c r="J356" t="s">
        <v>652</v>
      </c>
      <c r="K356" t="s">
        <v>652</v>
      </c>
    </row>
    <row r="357" spans="1:11" x14ac:dyDescent="0.5">
      <c r="A357" t="s">
        <v>759</v>
      </c>
      <c r="B357" t="s">
        <v>2817</v>
      </c>
      <c r="C357" t="s">
        <v>760</v>
      </c>
      <c r="D357" s="1">
        <v>8.2000000000000007E-3</v>
      </c>
      <c r="E357">
        <v>45.2</v>
      </c>
      <c r="F357" t="s">
        <v>651</v>
      </c>
      <c r="G357" t="s">
        <v>15</v>
      </c>
      <c r="H357" t="s">
        <v>16</v>
      </c>
      <c r="I357">
        <v>56.59</v>
      </c>
      <c r="J357" t="s">
        <v>652</v>
      </c>
      <c r="K357" t="s">
        <v>652</v>
      </c>
    </row>
    <row r="358" spans="1:11" x14ac:dyDescent="0.5">
      <c r="A358" t="s">
        <v>761</v>
      </c>
      <c r="B358" t="s">
        <v>2817</v>
      </c>
      <c r="C358" t="s">
        <v>762</v>
      </c>
      <c r="D358" t="s">
        <v>28</v>
      </c>
      <c r="E358">
        <v>65.599999999999994</v>
      </c>
      <c r="F358" t="s">
        <v>651</v>
      </c>
      <c r="G358" t="s">
        <v>16</v>
      </c>
      <c r="H358" t="s">
        <v>506</v>
      </c>
      <c r="I358">
        <v>26.04</v>
      </c>
      <c r="J358" t="s">
        <v>652</v>
      </c>
      <c r="K358" t="s">
        <v>652</v>
      </c>
    </row>
    <row r="359" spans="1:11" x14ac:dyDescent="0.5">
      <c r="A359" t="s">
        <v>763</v>
      </c>
      <c r="B359" t="s">
        <v>2817</v>
      </c>
      <c r="C359" t="s">
        <v>764</v>
      </c>
      <c r="D359" s="1">
        <v>2.4199999999999999E-2</v>
      </c>
      <c r="E359">
        <v>42.2</v>
      </c>
      <c r="F359" t="s">
        <v>651</v>
      </c>
      <c r="G359" t="s">
        <v>15</v>
      </c>
      <c r="H359" t="s">
        <v>32</v>
      </c>
      <c r="I359">
        <v>25.95</v>
      </c>
      <c r="J359" t="s">
        <v>652</v>
      </c>
      <c r="K359" t="s">
        <v>652</v>
      </c>
    </row>
    <row r="360" spans="1:11" x14ac:dyDescent="0.5">
      <c r="A360" t="s">
        <v>765</v>
      </c>
      <c r="B360" t="s">
        <v>2817</v>
      </c>
      <c r="C360" t="s">
        <v>766</v>
      </c>
      <c r="D360" t="s">
        <v>28</v>
      </c>
      <c r="E360">
        <v>38.4</v>
      </c>
      <c r="F360" t="s">
        <v>651</v>
      </c>
      <c r="G360" t="s">
        <v>15</v>
      </c>
      <c r="H360" t="s">
        <v>16</v>
      </c>
      <c r="I360">
        <v>63.12</v>
      </c>
      <c r="J360" t="s">
        <v>652</v>
      </c>
      <c r="K360" t="s">
        <v>652</v>
      </c>
    </row>
    <row r="361" spans="1:11" x14ac:dyDescent="0.5">
      <c r="A361" t="s">
        <v>767</v>
      </c>
      <c r="B361" t="s">
        <v>2817</v>
      </c>
      <c r="C361" t="s">
        <v>768</v>
      </c>
      <c r="D361" s="1">
        <v>4.6199999999999998E-2</v>
      </c>
      <c r="E361">
        <v>19.899999999999999</v>
      </c>
      <c r="F361" t="s">
        <v>651</v>
      </c>
      <c r="G361" t="s">
        <v>15</v>
      </c>
      <c r="H361" t="s">
        <v>16</v>
      </c>
      <c r="I361">
        <v>55.56</v>
      </c>
      <c r="J361" t="s">
        <v>652</v>
      </c>
      <c r="K361" t="s">
        <v>652</v>
      </c>
    </row>
    <row r="362" spans="1:11" x14ac:dyDescent="0.5">
      <c r="A362" t="s">
        <v>769</v>
      </c>
      <c r="B362" t="s">
        <v>2817</v>
      </c>
      <c r="C362" t="s">
        <v>770</v>
      </c>
      <c r="D362" s="1">
        <v>1.9300000000000001E-2</v>
      </c>
      <c r="E362">
        <v>56.3</v>
      </c>
      <c r="F362" t="s">
        <v>651</v>
      </c>
      <c r="G362" t="s">
        <v>15</v>
      </c>
      <c r="H362" t="s">
        <v>32</v>
      </c>
      <c r="I362">
        <v>35.43</v>
      </c>
      <c r="J362" t="s">
        <v>652</v>
      </c>
      <c r="K362" t="s">
        <v>652</v>
      </c>
    </row>
    <row r="363" spans="1:11" x14ac:dyDescent="0.5">
      <c r="A363" t="s">
        <v>771</v>
      </c>
      <c r="B363" t="s">
        <v>2817</v>
      </c>
      <c r="C363" t="s">
        <v>772</v>
      </c>
      <c r="D363" s="1">
        <v>2.9700000000000001E-2</v>
      </c>
      <c r="E363">
        <v>35.200000000000003</v>
      </c>
      <c r="F363" t="s">
        <v>651</v>
      </c>
      <c r="G363" t="s">
        <v>15</v>
      </c>
      <c r="H363" t="s">
        <v>32</v>
      </c>
      <c r="I363">
        <v>31.19</v>
      </c>
      <c r="J363" t="s">
        <v>652</v>
      </c>
      <c r="K363" t="s">
        <v>652</v>
      </c>
    </row>
    <row r="364" spans="1:11" x14ac:dyDescent="0.5">
      <c r="A364" t="s">
        <v>773</v>
      </c>
      <c r="B364" t="s">
        <v>2817</v>
      </c>
      <c r="C364" t="s">
        <v>774</v>
      </c>
      <c r="D364" s="1">
        <v>1.09E-2</v>
      </c>
      <c r="E364">
        <v>59.5</v>
      </c>
      <c r="F364" t="s">
        <v>651</v>
      </c>
      <c r="G364" t="s">
        <v>16</v>
      </c>
      <c r="H364" t="s">
        <v>32</v>
      </c>
      <c r="I364">
        <v>29.09</v>
      </c>
      <c r="J364" t="s">
        <v>652</v>
      </c>
      <c r="K364" t="s">
        <v>652</v>
      </c>
    </row>
    <row r="365" spans="1:11" x14ac:dyDescent="0.5">
      <c r="A365" t="s">
        <v>775</v>
      </c>
      <c r="B365" t="s">
        <v>2817</v>
      </c>
      <c r="C365" t="s">
        <v>776</v>
      </c>
      <c r="D365" s="1">
        <v>1.7899999999999999E-2</v>
      </c>
      <c r="E365">
        <v>50.5</v>
      </c>
      <c r="F365" t="s">
        <v>651</v>
      </c>
      <c r="G365" t="s">
        <v>15</v>
      </c>
      <c r="H365" t="s">
        <v>16</v>
      </c>
      <c r="I365">
        <v>41.36</v>
      </c>
      <c r="J365" t="s">
        <v>652</v>
      </c>
      <c r="K365" t="s">
        <v>652</v>
      </c>
    </row>
    <row r="366" spans="1:11" x14ac:dyDescent="0.5">
      <c r="A366" t="s">
        <v>777</v>
      </c>
      <c r="B366" t="s">
        <v>2817</v>
      </c>
      <c r="C366" t="s">
        <v>778</v>
      </c>
      <c r="D366" t="s">
        <v>28</v>
      </c>
      <c r="E366">
        <v>41.5</v>
      </c>
      <c r="F366" t="s">
        <v>651</v>
      </c>
      <c r="G366" t="s">
        <v>15</v>
      </c>
      <c r="H366" t="s">
        <v>16</v>
      </c>
      <c r="I366">
        <v>51.37</v>
      </c>
      <c r="J366" t="s">
        <v>652</v>
      </c>
      <c r="K366" t="s">
        <v>652</v>
      </c>
    </row>
    <row r="367" spans="1:11" x14ac:dyDescent="0.5">
      <c r="A367" t="s">
        <v>779</v>
      </c>
      <c r="B367" t="s">
        <v>2817</v>
      </c>
      <c r="C367" t="s">
        <v>780</v>
      </c>
      <c r="D367" s="1">
        <v>3.5200000000000002E-2</v>
      </c>
      <c r="E367">
        <v>31</v>
      </c>
      <c r="F367" t="s">
        <v>651</v>
      </c>
      <c r="G367" t="s">
        <v>16</v>
      </c>
      <c r="H367" t="s">
        <v>32</v>
      </c>
      <c r="I367">
        <v>33.93</v>
      </c>
      <c r="J367" t="s">
        <v>652</v>
      </c>
      <c r="K367" t="s">
        <v>652</v>
      </c>
    </row>
    <row r="368" spans="1:11" x14ac:dyDescent="0.5">
      <c r="A368" t="s">
        <v>781</v>
      </c>
      <c r="B368" t="s">
        <v>2817</v>
      </c>
      <c r="C368" t="s">
        <v>782</v>
      </c>
      <c r="D368" t="s">
        <v>28</v>
      </c>
      <c r="E368">
        <v>35.6</v>
      </c>
      <c r="F368" t="s">
        <v>651</v>
      </c>
      <c r="G368" t="s">
        <v>15</v>
      </c>
      <c r="H368" t="s">
        <v>16</v>
      </c>
      <c r="I368">
        <v>58.67</v>
      </c>
      <c r="J368" t="s">
        <v>652</v>
      </c>
      <c r="K368" t="s">
        <v>652</v>
      </c>
    </row>
    <row r="369" spans="1:11" x14ac:dyDescent="0.5">
      <c r="A369" t="s">
        <v>783</v>
      </c>
      <c r="B369" t="s">
        <v>2817</v>
      </c>
      <c r="C369" t="s">
        <v>784</v>
      </c>
      <c r="D369" s="1">
        <v>1.47E-2</v>
      </c>
      <c r="E369">
        <v>26.4</v>
      </c>
      <c r="F369" t="s">
        <v>651</v>
      </c>
      <c r="G369" t="s">
        <v>15</v>
      </c>
      <c r="H369" t="s">
        <v>16</v>
      </c>
      <c r="I369">
        <v>71.02</v>
      </c>
      <c r="J369" t="s">
        <v>652</v>
      </c>
      <c r="K369" t="s">
        <v>652</v>
      </c>
    </row>
    <row r="370" spans="1:11" x14ac:dyDescent="0.5">
      <c r="A370" t="s">
        <v>785</v>
      </c>
      <c r="B370" t="s">
        <v>2817</v>
      </c>
      <c r="C370" t="s">
        <v>786</v>
      </c>
      <c r="D370" s="1">
        <v>2.4500000000000001E-2</v>
      </c>
      <c r="E370">
        <v>31.9</v>
      </c>
      <c r="F370" t="s">
        <v>651</v>
      </c>
      <c r="G370" t="s">
        <v>15</v>
      </c>
      <c r="H370" t="s">
        <v>506</v>
      </c>
      <c r="I370">
        <v>29.49</v>
      </c>
      <c r="J370" t="s">
        <v>652</v>
      </c>
      <c r="K370" t="s">
        <v>652</v>
      </c>
    </row>
    <row r="371" spans="1:11" x14ac:dyDescent="0.5">
      <c r="A371" t="s">
        <v>787</v>
      </c>
      <c r="B371" t="s">
        <v>2817</v>
      </c>
      <c r="C371" t="s">
        <v>788</v>
      </c>
      <c r="D371" s="1">
        <v>2.3699999999999999E-2</v>
      </c>
      <c r="E371">
        <v>45.1</v>
      </c>
      <c r="F371" t="s">
        <v>651</v>
      </c>
      <c r="G371" t="s">
        <v>253</v>
      </c>
      <c r="H371" t="s">
        <v>16</v>
      </c>
      <c r="I371">
        <v>70.08</v>
      </c>
      <c r="J371" t="s">
        <v>652</v>
      </c>
      <c r="K371" t="s">
        <v>652</v>
      </c>
    </row>
    <row r="372" spans="1:11" x14ac:dyDescent="0.5">
      <c r="A372" t="s">
        <v>789</v>
      </c>
      <c r="B372" t="s">
        <v>2817</v>
      </c>
      <c r="C372" t="s">
        <v>790</v>
      </c>
      <c r="D372" s="1">
        <v>2.4899999999999999E-2</v>
      </c>
      <c r="E372">
        <v>29.5</v>
      </c>
      <c r="F372" t="s">
        <v>651</v>
      </c>
      <c r="G372" t="s">
        <v>15</v>
      </c>
      <c r="H372" t="s">
        <v>506</v>
      </c>
      <c r="I372">
        <v>30.33</v>
      </c>
      <c r="J372" t="s">
        <v>652</v>
      </c>
      <c r="K372" t="s">
        <v>652</v>
      </c>
    </row>
    <row r="373" spans="1:11" x14ac:dyDescent="0.5">
      <c r="A373" t="s">
        <v>791</v>
      </c>
      <c r="B373" t="s">
        <v>2817</v>
      </c>
      <c r="C373" t="s">
        <v>792</v>
      </c>
      <c r="D373" s="1">
        <v>2.98E-2</v>
      </c>
      <c r="E373">
        <v>43.7</v>
      </c>
      <c r="F373" t="s">
        <v>651</v>
      </c>
      <c r="G373" t="s">
        <v>253</v>
      </c>
      <c r="H373" t="s">
        <v>16</v>
      </c>
      <c r="I373">
        <v>70.42</v>
      </c>
      <c r="J373" t="s">
        <v>652</v>
      </c>
      <c r="K373" t="s">
        <v>652</v>
      </c>
    </row>
    <row r="374" spans="1:11" x14ac:dyDescent="0.5">
      <c r="A374" t="s">
        <v>793</v>
      </c>
      <c r="B374" t="s">
        <v>2817</v>
      </c>
      <c r="C374" t="s">
        <v>794</v>
      </c>
      <c r="D374" s="1">
        <v>1.52E-2</v>
      </c>
      <c r="E374">
        <v>55.2</v>
      </c>
      <c r="F374" t="s">
        <v>651</v>
      </c>
      <c r="G374" t="s">
        <v>16</v>
      </c>
      <c r="H374" t="s">
        <v>506</v>
      </c>
      <c r="I374">
        <v>24.52</v>
      </c>
      <c r="J374" t="s">
        <v>652</v>
      </c>
      <c r="K374" t="s">
        <v>652</v>
      </c>
    </row>
    <row r="375" spans="1:11" x14ac:dyDescent="0.5">
      <c r="A375" t="s">
        <v>795</v>
      </c>
      <c r="B375" t="s">
        <v>2817</v>
      </c>
      <c r="C375" t="s">
        <v>796</v>
      </c>
      <c r="D375" s="1">
        <v>3.2399999999999998E-2</v>
      </c>
      <c r="E375">
        <v>33.4</v>
      </c>
      <c r="F375" t="s">
        <v>651</v>
      </c>
      <c r="G375" t="s">
        <v>16</v>
      </c>
      <c r="H375" t="s">
        <v>506</v>
      </c>
      <c r="I375">
        <v>22.23</v>
      </c>
      <c r="J375" t="s">
        <v>652</v>
      </c>
      <c r="K375" t="s">
        <v>652</v>
      </c>
    </row>
    <row r="376" spans="1:11" x14ac:dyDescent="0.5">
      <c r="A376" t="s">
        <v>797</v>
      </c>
      <c r="B376" t="s">
        <v>2817</v>
      </c>
      <c r="C376" t="s">
        <v>798</v>
      </c>
      <c r="D376" s="1">
        <v>2.41E-2</v>
      </c>
      <c r="E376">
        <v>24.8</v>
      </c>
      <c r="F376" t="s">
        <v>651</v>
      </c>
      <c r="G376" t="s">
        <v>16</v>
      </c>
      <c r="H376" t="s">
        <v>32</v>
      </c>
      <c r="I376">
        <v>33.86</v>
      </c>
      <c r="J376" t="s">
        <v>652</v>
      </c>
      <c r="K376" t="s">
        <v>652</v>
      </c>
    </row>
    <row r="377" spans="1:11" x14ac:dyDescent="0.5">
      <c r="A377" t="s">
        <v>799</v>
      </c>
      <c r="B377" t="s">
        <v>2817</v>
      </c>
      <c r="C377" t="s">
        <v>800</v>
      </c>
      <c r="D377" s="1">
        <v>2.3199999999999998E-2</v>
      </c>
      <c r="E377">
        <v>29.2</v>
      </c>
      <c r="F377" t="s">
        <v>651</v>
      </c>
      <c r="G377" t="s">
        <v>16</v>
      </c>
      <c r="H377" t="s">
        <v>506</v>
      </c>
      <c r="I377">
        <v>26.96</v>
      </c>
      <c r="J377" t="s">
        <v>652</v>
      </c>
      <c r="K377" t="s">
        <v>652</v>
      </c>
    </row>
    <row r="378" spans="1:11" x14ac:dyDescent="0.5">
      <c r="A378" t="s">
        <v>801</v>
      </c>
      <c r="B378" t="s">
        <v>2817</v>
      </c>
      <c r="C378" t="s">
        <v>802</v>
      </c>
      <c r="D378" s="1">
        <v>3.0200000000000001E-2</v>
      </c>
      <c r="E378">
        <v>30.8</v>
      </c>
      <c r="F378" t="s">
        <v>651</v>
      </c>
      <c r="G378" t="s">
        <v>16</v>
      </c>
      <c r="H378" t="s">
        <v>506</v>
      </c>
      <c r="I378">
        <v>22.07</v>
      </c>
      <c r="J378" t="s">
        <v>652</v>
      </c>
      <c r="K378" t="s">
        <v>652</v>
      </c>
    </row>
    <row r="379" spans="1:11" x14ac:dyDescent="0.5">
      <c r="A379" t="s">
        <v>803</v>
      </c>
      <c r="B379" t="s">
        <v>2817</v>
      </c>
      <c r="C379" t="s">
        <v>804</v>
      </c>
      <c r="D379" s="1">
        <v>1.5299999999999999E-2</v>
      </c>
      <c r="E379">
        <v>44.2</v>
      </c>
      <c r="F379" t="s">
        <v>651</v>
      </c>
      <c r="G379" t="s">
        <v>15</v>
      </c>
      <c r="H379" t="s">
        <v>32</v>
      </c>
      <c r="I379">
        <v>34.56</v>
      </c>
      <c r="J379" t="s">
        <v>652</v>
      </c>
      <c r="K379" t="s">
        <v>652</v>
      </c>
    </row>
    <row r="380" spans="1:11" x14ac:dyDescent="0.5">
      <c r="A380" t="s">
        <v>805</v>
      </c>
      <c r="B380" t="s">
        <v>2817</v>
      </c>
      <c r="C380" t="s">
        <v>806</v>
      </c>
      <c r="D380" s="1">
        <v>2.3999999999999998E-3</v>
      </c>
      <c r="E380">
        <v>45.6</v>
      </c>
      <c r="F380" t="s">
        <v>651</v>
      </c>
      <c r="G380" t="s">
        <v>15</v>
      </c>
      <c r="H380" t="s">
        <v>506</v>
      </c>
      <c r="I380">
        <v>32.31</v>
      </c>
      <c r="J380" t="s">
        <v>652</v>
      </c>
      <c r="K380" t="s">
        <v>652</v>
      </c>
    </row>
    <row r="381" spans="1:11" x14ac:dyDescent="0.5">
      <c r="A381" t="s">
        <v>807</v>
      </c>
      <c r="B381" t="s">
        <v>2817</v>
      </c>
      <c r="C381" t="s">
        <v>808</v>
      </c>
      <c r="D381" s="1">
        <v>4.2299999999999997E-2</v>
      </c>
      <c r="E381">
        <v>27.2</v>
      </c>
      <c r="F381" t="s">
        <v>651</v>
      </c>
      <c r="G381" t="s">
        <v>16</v>
      </c>
      <c r="H381" t="s">
        <v>506</v>
      </c>
      <c r="I381">
        <v>25.88</v>
      </c>
      <c r="J381" t="s">
        <v>652</v>
      </c>
      <c r="K381" t="s">
        <v>652</v>
      </c>
    </row>
    <row r="382" spans="1:11" x14ac:dyDescent="0.5">
      <c r="A382" t="s">
        <v>809</v>
      </c>
      <c r="B382" t="s">
        <v>2817</v>
      </c>
      <c r="C382" t="s">
        <v>810</v>
      </c>
      <c r="D382" s="1">
        <v>2.0199999999999999E-2</v>
      </c>
      <c r="E382">
        <v>26</v>
      </c>
      <c r="F382" t="s">
        <v>651</v>
      </c>
      <c r="G382" t="s">
        <v>15</v>
      </c>
      <c r="H382" t="s">
        <v>506</v>
      </c>
      <c r="I382">
        <v>27.28</v>
      </c>
      <c r="J382" t="s">
        <v>652</v>
      </c>
      <c r="K382" t="s">
        <v>652</v>
      </c>
    </row>
    <row r="383" spans="1:11" x14ac:dyDescent="0.5">
      <c r="A383" t="s">
        <v>811</v>
      </c>
      <c r="B383" t="s">
        <v>2817</v>
      </c>
      <c r="C383" t="s">
        <v>812</v>
      </c>
      <c r="D383" s="1">
        <v>1.6E-2</v>
      </c>
      <c r="E383">
        <v>45.9</v>
      </c>
      <c r="F383" t="s">
        <v>651</v>
      </c>
      <c r="G383" t="s">
        <v>15</v>
      </c>
      <c r="H383" t="s">
        <v>32</v>
      </c>
      <c r="I383">
        <v>31.05</v>
      </c>
      <c r="J383" t="s">
        <v>652</v>
      </c>
      <c r="K383" t="s">
        <v>652</v>
      </c>
    </row>
    <row r="384" spans="1:11" x14ac:dyDescent="0.5">
      <c r="A384" t="s">
        <v>813</v>
      </c>
      <c r="B384" t="s">
        <v>2817</v>
      </c>
      <c r="C384" t="s">
        <v>814</v>
      </c>
      <c r="D384" s="1">
        <v>1.2E-2</v>
      </c>
      <c r="E384">
        <v>43.6</v>
      </c>
      <c r="F384" t="s">
        <v>651</v>
      </c>
      <c r="G384" t="s">
        <v>16</v>
      </c>
      <c r="H384" t="s">
        <v>16</v>
      </c>
      <c r="I384">
        <v>33.17</v>
      </c>
      <c r="J384" t="s">
        <v>652</v>
      </c>
      <c r="K384" t="s">
        <v>652</v>
      </c>
    </row>
    <row r="385" spans="1:11" x14ac:dyDescent="0.5">
      <c r="A385" t="s">
        <v>815</v>
      </c>
      <c r="B385" t="s">
        <v>2817</v>
      </c>
      <c r="C385" t="s">
        <v>816</v>
      </c>
      <c r="D385" s="1">
        <v>4.1000000000000003E-3</v>
      </c>
      <c r="E385">
        <v>20.7</v>
      </c>
      <c r="F385" t="s">
        <v>651</v>
      </c>
      <c r="G385" t="s">
        <v>15</v>
      </c>
      <c r="H385" t="s">
        <v>16</v>
      </c>
      <c r="I385">
        <v>65.11</v>
      </c>
      <c r="J385" t="s">
        <v>652</v>
      </c>
      <c r="K385" t="s">
        <v>652</v>
      </c>
    </row>
    <row r="386" spans="1:11" x14ac:dyDescent="0.5">
      <c r="A386" t="s">
        <v>817</v>
      </c>
      <c r="B386" t="s">
        <v>2817</v>
      </c>
      <c r="C386" t="s">
        <v>818</v>
      </c>
      <c r="D386" s="1">
        <v>1.9E-3</v>
      </c>
      <c r="E386">
        <v>50.8</v>
      </c>
      <c r="F386" t="s">
        <v>651</v>
      </c>
      <c r="G386" t="s">
        <v>16</v>
      </c>
      <c r="H386" t="s">
        <v>506</v>
      </c>
      <c r="I386">
        <v>22.01</v>
      </c>
      <c r="J386" t="s">
        <v>652</v>
      </c>
      <c r="K386" t="s">
        <v>652</v>
      </c>
    </row>
    <row r="387" spans="1:11" x14ac:dyDescent="0.5">
      <c r="A387" t="s">
        <v>819</v>
      </c>
      <c r="B387" t="s">
        <v>2817</v>
      </c>
      <c r="C387" t="s">
        <v>820</v>
      </c>
      <c r="D387" t="s">
        <v>28</v>
      </c>
      <c r="E387">
        <v>43</v>
      </c>
      <c r="F387" t="s">
        <v>651</v>
      </c>
      <c r="G387" t="s">
        <v>15</v>
      </c>
      <c r="H387" t="s">
        <v>32</v>
      </c>
      <c r="I387">
        <v>31.51</v>
      </c>
      <c r="J387" t="s">
        <v>652</v>
      </c>
      <c r="K387" t="s">
        <v>652</v>
      </c>
    </row>
    <row r="388" spans="1:11" x14ac:dyDescent="0.5">
      <c r="A388" t="s">
        <v>821</v>
      </c>
      <c r="B388" t="s">
        <v>2817</v>
      </c>
      <c r="C388" t="s">
        <v>822</v>
      </c>
      <c r="D388" s="1">
        <v>7.3000000000000001E-3</v>
      </c>
      <c r="E388">
        <v>30</v>
      </c>
      <c r="F388" t="s">
        <v>651</v>
      </c>
      <c r="G388" t="s">
        <v>15</v>
      </c>
      <c r="H388" t="s">
        <v>16</v>
      </c>
      <c r="I388">
        <v>48.79</v>
      </c>
      <c r="J388" t="s">
        <v>652</v>
      </c>
      <c r="K388" t="s">
        <v>652</v>
      </c>
    </row>
    <row r="389" spans="1:11" x14ac:dyDescent="0.5">
      <c r="A389" t="s">
        <v>823</v>
      </c>
      <c r="B389" t="s">
        <v>2817</v>
      </c>
      <c r="C389" t="s">
        <v>824</v>
      </c>
      <c r="D389" s="1">
        <v>4.5600000000000002E-2</v>
      </c>
      <c r="E389">
        <v>22.8</v>
      </c>
      <c r="F389" t="s">
        <v>651</v>
      </c>
      <c r="G389" t="s">
        <v>16</v>
      </c>
      <c r="H389" t="s">
        <v>506</v>
      </c>
      <c r="I389">
        <v>26.82</v>
      </c>
      <c r="J389" t="s">
        <v>652</v>
      </c>
      <c r="K389" t="s">
        <v>652</v>
      </c>
    </row>
    <row r="390" spans="1:11" x14ac:dyDescent="0.5">
      <c r="A390" t="s">
        <v>825</v>
      </c>
      <c r="B390" t="s">
        <v>2817</v>
      </c>
      <c r="C390" t="s">
        <v>826</v>
      </c>
      <c r="D390" s="1">
        <v>1.8100000000000002E-2</v>
      </c>
      <c r="E390">
        <v>37.799999999999997</v>
      </c>
      <c r="F390" t="s">
        <v>651</v>
      </c>
      <c r="G390" t="s">
        <v>15</v>
      </c>
      <c r="H390" t="s">
        <v>32</v>
      </c>
      <c r="I390">
        <v>36.799999999999997</v>
      </c>
      <c r="J390" t="s">
        <v>652</v>
      </c>
      <c r="K390" t="s">
        <v>652</v>
      </c>
    </row>
    <row r="391" spans="1:11" x14ac:dyDescent="0.5">
      <c r="A391" t="s">
        <v>827</v>
      </c>
      <c r="B391" t="s">
        <v>2817</v>
      </c>
      <c r="C391" t="s">
        <v>828</v>
      </c>
      <c r="D391" s="1">
        <v>4.1300000000000003E-2</v>
      </c>
      <c r="E391">
        <v>23.1</v>
      </c>
      <c r="F391" t="s">
        <v>651</v>
      </c>
      <c r="G391" t="s">
        <v>16</v>
      </c>
      <c r="H391" t="s">
        <v>506</v>
      </c>
      <c r="I391">
        <v>23.1</v>
      </c>
      <c r="J391" t="s">
        <v>652</v>
      </c>
      <c r="K391" t="s">
        <v>652</v>
      </c>
    </row>
    <row r="392" spans="1:11" x14ac:dyDescent="0.5">
      <c r="A392" t="s">
        <v>829</v>
      </c>
      <c r="B392" t="s">
        <v>2817</v>
      </c>
      <c r="C392" t="s">
        <v>830</v>
      </c>
      <c r="D392" s="1">
        <v>2.1100000000000001E-2</v>
      </c>
      <c r="E392">
        <v>48.9</v>
      </c>
      <c r="F392" t="s">
        <v>651</v>
      </c>
      <c r="G392" t="s">
        <v>506</v>
      </c>
      <c r="H392" t="s">
        <v>254</v>
      </c>
      <c r="I392">
        <v>45.33</v>
      </c>
      <c r="J392" t="s">
        <v>652</v>
      </c>
      <c r="K392" t="s">
        <v>652</v>
      </c>
    </row>
    <row r="393" spans="1:11" x14ac:dyDescent="0.5">
      <c r="A393" t="s">
        <v>831</v>
      </c>
      <c r="B393" t="s">
        <v>2817</v>
      </c>
      <c r="C393" t="s">
        <v>832</v>
      </c>
      <c r="D393" s="1">
        <v>4.7699999999999999E-2</v>
      </c>
      <c r="E393">
        <v>34.200000000000003</v>
      </c>
      <c r="F393" t="s">
        <v>651</v>
      </c>
      <c r="G393" t="s">
        <v>253</v>
      </c>
      <c r="H393" t="s">
        <v>16</v>
      </c>
      <c r="I393">
        <v>64.58</v>
      </c>
      <c r="J393" t="s">
        <v>652</v>
      </c>
      <c r="K393" t="s">
        <v>652</v>
      </c>
    </row>
    <row r="394" spans="1:11" x14ac:dyDescent="0.5">
      <c r="A394" t="s">
        <v>833</v>
      </c>
      <c r="B394" t="s">
        <v>2817</v>
      </c>
      <c r="C394" t="s">
        <v>834</v>
      </c>
      <c r="D394" s="1">
        <v>1.83E-2</v>
      </c>
      <c r="E394">
        <v>31.6</v>
      </c>
      <c r="F394" t="s">
        <v>651</v>
      </c>
      <c r="G394" t="s">
        <v>16</v>
      </c>
      <c r="H394" t="s">
        <v>32</v>
      </c>
      <c r="I394">
        <v>40.08</v>
      </c>
      <c r="J394" t="s">
        <v>652</v>
      </c>
      <c r="K394" t="s">
        <v>652</v>
      </c>
    </row>
    <row r="395" spans="1:11" x14ac:dyDescent="0.5">
      <c r="A395" t="s">
        <v>835</v>
      </c>
      <c r="B395" t="s">
        <v>2817</v>
      </c>
      <c r="C395" t="s">
        <v>836</v>
      </c>
      <c r="D395" s="1">
        <v>6.0499999999999998E-2</v>
      </c>
      <c r="E395">
        <v>35.299999999999997</v>
      </c>
      <c r="F395" t="s">
        <v>651</v>
      </c>
      <c r="G395" t="s">
        <v>253</v>
      </c>
      <c r="H395" t="s">
        <v>16</v>
      </c>
      <c r="I395">
        <v>62.23</v>
      </c>
      <c r="J395" t="s">
        <v>652</v>
      </c>
      <c r="K395" t="s">
        <v>652</v>
      </c>
    </row>
    <row r="396" spans="1:11" x14ac:dyDescent="0.5">
      <c r="A396" t="s">
        <v>837</v>
      </c>
      <c r="B396" t="s">
        <v>2817</v>
      </c>
      <c r="C396" t="s">
        <v>838</v>
      </c>
      <c r="D396" s="1">
        <v>8.2000000000000007E-3</v>
      </c>
      <c r="E396">
        <v>66</v>
      </c>
      <c r="F396" t="s">
        <v>651</v>
      </c>
      <c r="G396" t="s">
        <v>506</v>
      </c>
      <c r="H396" t="s">
        <v>16</v>
      </c>
      <c r="I396">
        <v>50.62</v>
      </c>
      <c r="J396" t="s">
        <v>652</v>
      </c>
      <c r="K396" t="s">
        <v>652</v>
      </c>
    </row>
    <row r="397" spans="1:11" x14ac:dyDescent="0.5">
      <c r="A397" t="s">
        <v>839</v>
      </c>
      <c r="B397" t="s">
        <v>2817</v>
      </c>
      <c r="C397" t="s">
        <v>840</v>
      </c>
      <c r="D397" s="1">
        <v>2.4299999999999999E-2</v>
      </c>
      <c r="E397">
        <v>11.2</v>
      </c>
      <c r="F397" t="s">
        <v>651</v>
      </c>
      <c r="G397" t="s">
        <v>16</v>
      </c>
      <c r="H397" t="s">
        <v>32</v>
      </c>
      <c r="I397">
        <v>34.29</v>
      </c>
      <c r="J397" t="s">
        <v>652</v>
      </c>
      <c r="K397" t="s">
        <v>652</v>
      </c>
    </row>
    <row r="398" spans="1:11" x14ac:dyDescent="0.5">
      <c r="A398" t="s">
        <v>841</v>
      </c>
      <c r="B398" t="s">
        <v>2817</v>
      </c>
      <c r="C398" t="s">
        <v>842</v>
      </c>
      <c r="D398" s="1">
        <v>2.5000000000000001E-3</v>
      </c>
      <c r="E398">
        <v>72</v>
      </c>
      <c r="F398" t="s">
        <v>651</v>
      </c>
      <c r="G398" t="s">
        <v>253</v>
      </c>
      <c r="H398" t="s">
        <v>254</v>
      </c>
      <c r="I398">
        <v>39.99</v>
      </c>
      <c r="J398" t="s">
        <v>652</v>
      </c>
      <c r="K398" t="s">
        <v>652</v>
      </c>
    </row>
    <row r="399" spans="1:11" x14ac:dyDescent="0.5">
      <c r="A399" t="s">
        <v>843</v>
      </c>
      <c r="B399" t="s">
        <v>2817</v>
      </c>
      <c r="C399" t="s">
        <v>842</v>
      </c>
      <c r="D399" s="1">
        <v>2.5000000000000001E-3</v>
      </c>
      <c r="E399">
        <v>71.599999999999994</v>
      </c>
      <c r="F399" t="s">
        <v>651</v>
      </c>
      <c r="G399" t="s">
        <v>253</v>
      </c>
      <c r="H399" t="s">
        <v>254</v>
      </c>
      <c r="I399">
        <v>40.42</v>
      </c>
      <c r="J399" t="s">
        <v>652</v>
      </c>
      <c r="K399" t="s">
        <v>652</v>
      </c>
    </row>
    <row r="400" spans="1:11" x14ac:dyDescent="0.5">
      <c r="A400" t="s">
        <v>844</v>
      </c>
      <c r="B400" t="s">
        <v>2817</v>
      </c>
      <c r="C400" t="s">
        <v>845</v>
      </c>
      <c r="D400" s="1">
        <v>1.77E-2</v>
      </c>
      <c r="E400">
        <v>32.799999999999997</v>
      </c>
      <c r="F400" t="s">
        <v>651</v>
      </c>
      <c r="G400" t="s">
        <v>15</v>
      </c>
      <c r="H400" t="s">
        <v>32</v>
      </c>
      <c r="I400">
        <v>34.04</v>
      </c>
      <c r="J400" t="s">
        <v>652</v>
      </c>
      <c r="K400" t="s">
        <v>652</v>
      </c>
    </row>
    <row r="401" spans="1:11" x14ac:dyDescent="0.5">
      <c r="A401" t="s">
        <v>846</v>
      </c>
      <c r="B401" t="s">
        <v>2817</v>
      </c>
      <c r="C401" t="s">
        <v>847</v>
      </c>
      <c r="D401" s="1">
        <v>1.7899999999999999E-2</v>
      </c>
      <c r="E401">
        <v>37</v>
      </c>
      <c r="F401" t="s">
        <v>651</v>
      </c>
      <c r="G401" t="s">
        <v>16</v>
      </c>
      <c r="H401" t="s">
        <v>32</v>
      </c>
      <c r="I401">
        <v>27.67</v>
      </c>
      <c r="J401" t="s">
        <v>652</v>
      </c>
      <c r="K401" t="s">
        <v>652</v>
      </c>
    </row>
    <row r="402" spans="1:11" x14ac:dyDescent="0.5">
      <c r="A402" t="s">
        <v>848</v>
      </c>
      <c r="B402" t="s">
        <v>2817</v>
      </c>
      <c r="C402" t="s">
        <v>849</v>
      </c>
      <c r="D402" s="1">
        <v>1.55E-2</v>
      </c>
      <c r="E402">
        <v>27</v>
      </c>
      <c r="F402" t="s">
        <v>651</v>
      </c>
      <c r="G402" t="s">
        <v>15</v>
      </c>
      <c r="H402" t="s">
        <v>16</v>
      </c>
      <c r="I402">
        <v>41.59</v>
      </c>
      <c r="J402" t="s">
        <v>652</v>
      </c>
      <c r="K402" t="s">
        <v>652</v>
      </c>
    </row>
    <row r="403" spans="1:11" x14ac:dyDescent="0.5">
      <c r="A403" t="s">
        <v>850</v>
      </c>
      <c r="B403" t="s">
        <v>2817</v>
      </c>
      <c r="C403" t="s">
        <v>851</v>
      </c>
      <c r="D403" t="s">
        <v>28</v>
      </c>
      <c r="E403">
        <v>36.6</v>
      </c>
      <c r="F403" t="s">
        <v>651</v>
      </c>
      <c r="G403" t="s">
        <v>16</v>
      </c>
      <c r="H403" t="s">
        <v>506</v>
      </c>
      <c r="I403">
        <v>26.01</v>
      </c>
      <c r="J403" t="s">
        <v>652</v>
      </c>
      <c r="K403" t="s">
        <v>652</v>
      </c>
    </row>
    <row r="404" spans="1:11" x14ac:dyDescent="0.5">
      <c r="A404" t="s">
        <v>852</v>
      </c>
      <c r="B404" t="s">
        <v>2817</v>
      </c>
      <c r="C404" t="s">
        <v>853</v>
      </c>
      <c r="D404" s="1">
        <v>1.3100000000000001E-2</v>
      </c>
      <c r="E404">
        <v>25.3</v>
      </c>
      <c r="F404" t="s">
        <v>651</v>
      </c>
      <c r="G404" t="s">
        <v>15</v>
      </c>
      <c r="H404" t="s">
        <v>16</v>
      </c>
      <c r="I404">
        <v>41.71</v>
      </c>
      <c r="J404" t="s">
        <v>652</v>
      </c>
      <c r="K404" t="s">
        <v>652</v>
      </c>
    </row>
    <row r="405" spans="1:11" x14ac:dyDescent="0.5">
      <c r="A405" t="s">
        <v>854</v>
      </c>
      <c r="B405" t="s">
        <v>2817</v>
      </c>
      <c r="C405" t="s">
        <v>855</v>
      </c>
      <c r="D405" t="s">
        <v>28</v>
      </c>
      <c r="E405">
        <v>52.1</v>
      </c>
      <c r="F405" t="s">
        <v>651</v>
      </c>
      <c r="G405" t="s">
        <v>506</v>
      </c>
      <c r="H405" t="s">
        <v>254</v>
      </c>
      <c r="I405">
        <v>62.72</v>
      </c>
      <c r="J405" t="s">
        <v>652</v>
      </c>
      <c r="K405" t="s">
        <v>652</v>
      </c>
    </row>
    <row r="406" spans="1:11" x14ac:dyDescent="0.5">
      <c r="A406" t="s">
        <v>856</v>
      </c>
      <c r="B406" t="s">
        <v>2817</v>
      </c>
      <c r="C406" t="s">
        <v>857</v>
      </c>
      <c r="D406" s="1">
        <v>3.6400000000000002E-2</v>
      </c>
      <c r="E406">
        <v>38.5</v>
      </c>
      <c r="F406" t="s">
        <v>651</v>
      </c>
      <c r="G406" t="s">
        <v>459</v>
      </c>
      <c r="H406" t="s">
        <v>254</v>
      </c>
      <c r="I406">
        <v>48.89</v>
      </c>
      <c r="J406" t="s">
        <v>652</v>
      </c>
      <c r="K406" t="s">
        <v>652</v>
      </c>
    </row>
    <row r="407" spans="1:11" x14ac:dyDescent="0.5">
      <c r="A407" t="s">
        <v>858</v>
      </c>
      <c r="B407" t="s">
        <v>2817</v>
      </c>
      <c r="C407" t="s">
        <v>859</v>
      </c>
      <c r="D407" s="1">
        <v>5.1999999999999998E-3</v>
      </c>
      <c r="E407">
        <v>73.099999999999994</v>
      </c>
      <c r="F407" t="s">
        <v>651</v>
      </c>
      <c r="G407" t="s">
        <v>254</v>
      </c>
      <c r="H407" t="s">
        <v>32</v>
      </c>
      <c r="I407">
        <v>32.369999999999997</v>
      </c>
      <c r="J407" t="s">
        <v>652</v>
      </c>
      <c r="K407" t="s">
        <v>652</v>
      </c>
    </row>
    <row r="408" spans="1:11" x14ac:dyDescent="0.5">
      <c r="A408" t="s">
        <v>860</v>
      </c>
      <c r="B408" t="s">
        <v>2817</v>
      </c>
      <c r="C408" t="s">
        <v>861</v>
      </c>
      <c r="D408" t="s">
        <v>28</v>
      </c>
      <c r="E408">
        <v>37</v>
      </c>
      <c r="F408" t="s">
        <v>651</v>
      </c>
      <c r="G408" t="s">
        <v>15</v>
      </c>
      <c r="H408" t="s">
        <v>506</v>
      </c>
      <c r="I408">
        <v>21.4</v>
      </c>
      <c r="J408" t="s">
        <v>652</v>
      </c>
      <c r="K408" t="s">
        <v>652</v>
      </c>
    </row>
    <row r="409" spans="1:11" x14ac:dyDescent="0.5">
      <c r="A409" t="s">
        <v>862</v>
      </c>
      <c r="B409" t="s">
        <v>2817</v>
      </c>
      <c r="C409" t="s">
        <v>863</v>
      </c>
      <c r="D409" s="1">
        <v>2.87E-2</v>
      </c>
      <c r="E409">
        <v>40.299999999999997</v>
      </c>
      <c r="F409" t="s">
        <v>651</v>
      </c>
      <c r="G409" t="s">
        <v>253</v>
      </c>
      <c r="H409" t="s">
        <v>16</v>
      </c>
      <c r="I409">
        <v>44.37</v>
      </c>
      <c r="J409" t="s">
        <v>652</v>
      </c>
      <c r="K409" t="s">
        <v>652</v>
      </c>
    </row>
    <row r="410" spans="1:11" x14ac:dyDescent="0.5">
      <c r="A410" t="s">
        <v>864</v>
      </c>
      <c r="B410" t="s">
        <v>2817</v>
      </c>
      <c r="C410" t="s">
        <v>865</v>
      </c>
      <c r="D410" s="1">
        <v>6.1999999999999998E-3</v>
      </c>
      <c r="E410">
        <v>56.8</v>
      </c>
      <c r="F410" t="s">
        <v>651</v>
      </c>
      <c r="G410" t="s">
        <v>506</v>
      </c>
      <c r="H410" t="s">
        <v>16</v>
      </c>
      <c r="I410">
        <v>50.54</v>
      </c>
      <c r="J410" t="s">
        <v>652</v>
      </c>
      <c r="K410" t="s">
        <v>652</v>
      </c>
    </row>
    <row r="411" spans="1:11" x14ac:dyDescent="0.5">
      <c r="A411" t="s">
        <v>866</v>
      </c>
      <c r="B411" t="s">
        <v>2817</v>
      </c>
      <c r="C411" t="s">
        <v>867</v>
      </c>
      <c r="D411" s="1">
        <v>7.7000000000000002E-3</v>
      </c>
      <c r="E411">
        <v>29.9</v>
      </c>
      <c r="F411" t="s">
        <v>651</v>
      </c>
      <c r="G411" t="s">
        <v>15</v>
      </c>
      <c r="H411" t="s">
        <v>506</v>
      </c>
      <c r="I411">
        <v>28.18</v>
      </c>
      <c r="J411" t="s">
        <v>652</v>
      </c>
      <c r="K411" t="s">
        <v>652</v>
      </c>
    </row>
    <row r="412" spans="1:11" x14ac:dyDescent="0.5">
      <c r="A412" t="s">
        <v>868</v>
      </c>
      <c r="B412" t="s">
        <v>2817</v>
      </c>
      <c r="C412" t="s">
        <v>869</v>
      </c>
      <c r="D412" s="1">
        <v>2.3800000000000002E-2</v>
      </c>
      <c r="E412">
        <v>46.1</v>
      </c>
      <c r="F412" t="s">
        <v>651</v>
      </c>
      <c r="G412" t="s">
        <v>254</v>
      </c>
      <c r="H412" t="s">
        <v>32</v>
      </c>
      <c r="I412">
        <v>32.78</v>
      </c>
      <c r="J412" t="s">
        <v>652</v>
      </c>
      <c r="K412" t="s">
        <v>652</v>
      </c>
    </row>
    <row r="413" spans="1:11" x14ac:dyDescent="0.5">
      <c r="A413" t="s">
        <v>870</v>
      </c>
      <c r="B413" t="s">
        <v>2817</v>
      </c>
      <c r="C413" t="s">
        <v>871</v>
      </c>
      <c r="D413" s="1">
        <v>1.0800000000000001E-2</v>
      </c>
      <c r="E413">
        <v>20.7</v>
      </c>
      <c r="F413" t="s">
        <v>651</v>
      </c>
      <c r="G413" t="s">
        <v>15</v>
      </c>
      <c r="H413" t="s">
        <v>32</v>
      </c>
      <c r="I413">
        <v>38.08</v>
      </c>
      <c r="J413" t="s">
        <v>652</v>
      </c>
      <c r="K413" t="s">
        <v>652</v>
      </c>
    </row>
    <row r="414" spans="1:11" x14ac:dyDescent="0.5">
      <c r="A414" t="s">
        <v>872</v>
      </c>
      <c r="B414" t="s">
        <v>2817</v>
      </c>
      <c r="C414" t="s">
        <v>873</v>
      </c>
      <c r="D414" t="s">
        <v>28</v>
      </c>
      <c r="E414">
        <v>23.4</v>
      </c>
      <c r="F414" t="s">
        <v>651</v>
      </c>
      <c r="G414" t="s">
        <v>16</v>
      </c>
      <c r="H414" t="s">
        <v>32</v>
      </c>
      <c r="I414">
        <v>32.56</v>
      </c>
      <c r="J414" t="s">
        <v>652</v>
      </c>
      <c r="K414" t="s">
        <v>652</v>
      </c>
    </row>
    <row r="415" spans="1:11" x14ac:dyDescent="0.5">
      <c r="A415" t="s">
        <v>874</v>
      </c>
      <c r="B415" t="s">
        <v>2817</v>
      </c>
      <c r="C415" t="s">
        <v>875</v>
      </c>
      <c r="D415" s="1">
        <v>2.3099999999999999E-2</v>
      </c>
      <c r="E415">
        <v>48</v>
      </c>
      <c r="F415" t="s">
        <v>651</v>
      </c>
      <c r="G415" t="s">
        <v>254</v>
      </c>
      <c r="H415" t="s">
        <v>506</v>
      </c>
      <c r="I415">
        <v>25.47</v>
      </c>
      <c r="J415" t="s">
        <v>652</v>
      </c>
      <c r="K415" t="s">
        <v>652</v>
      </c>
    </row>
    <row r="416" spans="1:11" x14ac:dyDescent="0.5">
      <c r="A416" t="s">
        <v>876</v>
      </c>
      <c r="B416" t="s">
        <v>2817</v>
      </c>
      <c r="C416" t="s">
        <v>822</v>
      </c>
      <c r="D416" s="1">
        <v>6.4000000000000003E-3</v>
      </c>
      <c r="E416">
        <v>24.5</v>
      </c>
      <c r="F416" t="s">
        <v>651</v>
      </c>
      <c r="G416" t="s">
        <v>15</v>
      </c>
      <c r="H416" t="s">
        <v>32</v>
      </c>
      <c r="I416">
        <v>28.66</v>
      </c>
      <c r="J416" t="s">
        <v>652</v>
      </c>
      <c r="K416" t="s">
        <v>652</v>
      </c>
    </row>
    <row r="417" spans="1:11" x14ac:dyDescent="0.5">
      <c r="A417" t="s">
        <v>877</v>
      </c>
      <c r="B417" t="s">
        <v>2817</v>
      </c>
      <c r="C417" t="s">
        <v>878</v>
      </c>
      <c r="D417" s="1">
        <v>1.4200000000000001E-2</v>
      </c>
      <c r="E417">
        <v>58.8</v>
      </c>
      <c r="F417" t="s">
        <v>651</v>
      </c>
      <c r="G417" t="s">
        <v>254</v>
      </c>
      <c r="H417" t="s">
        <v>16</v>
      </c>
      <c r="I417">
        <v>40.479999999999997</v>
      </c>
      <c r="J417" t="s">
        <v>652</v>
      </c>
      <c r="K417" t="s">
        <v>652</v>
      </c>
    </row>
    <row r="418" spans="1:11" x14ac:dyDescent="0.5">
      <c r="A418" t="s">
        <v>879</v>
      </c>
      <c r="B418" t="s">
        <v>2817</v>
      </c>
      <c r="C418" t="s">
        <v>880</v>
      </c>
      <c r="D418" s="1">
        <v>2.3800000000000002E-2</v>
      </c>
      <c r="E418">
        <v>19</v>
      </c>
      <c r="F418" t="s">
        <v>651</v>
      </c>
      <c r="G418" t="s">
        <v>253</v>
      </c>
      <c r="H418" t="s">
        <v>16</v>
      </c>
      <c r="I418">
        <v>63.55</v>
      </c>
      <c r="J418" t="s">
        <v>652</v>
      </c>
      <c r="K418" t="s">
        <v>652</v>
      </c>
    </row>
    <row r="419" spans="1:11" x14ac:dyDescent="0.5">
      <c r="A419" t="s">
        <v>881</v>
      </c>
      <c r="B419" t="s">
        <v>2817</v>
      </c>
      <c r="C419" t="s">
        <v>882</v>
      </c>
      <c r="D419" s="1">
        <v>2.3199999999999998E-2</v>
      </c>
      <c r="E419">
        <v>42.2</v>
      </c>
      <c r="F419" t="s">
        <v>651</v>
      </c>
      <c r="G419" t="s">
        <v>254</v>
      </c>
      <c r="H419" t="s">
        <v>32</v>
      </c>
      <c r="I419">
        <v>29.87</v>
      </c>
      <c r="J419" t="s">
        <v>652</v>
      </c>
      <c r="K419" t="s">
        <v>652</v>
      </c>
    </row>
    <row r="420" spans="1:11" x14ac:dyDescent="0.5">
      <c r="A420" t="s">
        <v>883</v>
      </c>
      <c r="B420" t="s">
        <v>2817</v>
      </c>
      <c r="C420" t="s">
        <v>884</v>
      </c>
      <c r="D420" s="1">
        <v>4.2200000000000001E-2</v>
      </c>
      <c r="E420">
        <v>37.5</v>
      </c>
      <c r="F420" t="s">
        <v>651</v>
      </c>
      <c r="G420" t="s">
        <v>254</v>
      </c>
      <c r="H420" t="s">
        <v>32</v>
      </c>
      <c r="I420">
        <v>36.44</v>
      </c>
      <c r="J420" t="s">
        <v>652</v>
      </c>
      <c r="K420" t="s">
        <v>652</v>
      </c>
    </row>
    <row r="421" spans="1:11" x14ac:dyDescent="0.5">
      <c r="A421" t="s">
        <v>885</v>
      </c>
      <c r="B421" t="s">
        <v>2817</v>
      </c>
      <c r="C421" t="s">
        <v>886</v>
      </c>
      <c r="D421" s="1">
        <v>2.4500000000000001E-2</v>
      </c>
      <c r="E421">
        <v>30.7</v>
      </c>
      <c r="F421" t="s">
        <v>651</v>
      </c>
      <c r="G421" t="s">
        <v>253</v>
      </c>
      <c r="H421" t="s">
        <v>16</v>
      </c>
      <c r="I421">
        <v>45.38</v>
      </c>
      <c r="J421" t="s">
        <v>652</v>
      </c>
      <c r="K421" t="s">
        <v>652</v>
      </c>
    </row>
    <row r="422" spans="1:11" x14ac:dyDescent="0.5">
      <c r="A422" t="s">
        <v>887</v>
      </c>
      <c r="B422" t="s">
        <v>2817</v>
      </c>
      <c r="C422" t="s">
        <v>888</v>
      </c>
      <c r="D422" s="1">
        <v>2.52E-2</v>
      </c>
      <c r="E422">
        <v>46</v>
      </c>
      <c r="F422" t="s">
        <v>651</v>
      </c>
      <c r="G422" t="s">
        <v>459</v>
      </c>
      <c r="H422" t="s">
        <v>506</v>
      </c>
      <c r="I422">
        <v>23.58</v>
      </c>
      <c r="J422" t="s">
        <v>652</v>
      </c>
      <c r="K422" t="s">
        <v>652</v>
      </c>
    </row>
    <row r="423" spans="1:11" x14ac:dyDescent="0.5">
      <c r="A423" t="s">
        <v>889</v>
      </c>
      <c r="B423" t="s">
        <v>2817</v>
      </c>
      <c r="C423" t="s">
        <v>890</v>
      </c>
      <c r="D423" s="1">
        <v>4.4000000000000003E-3</v>
      </c>
      <c r="E423">
        <v>62.3</v>
      </c>
      <c r="F423" t="s">
        <v>651</v>
      </c>
      <c r="G423" t="s">
        <v>254</v>
      </c>
      <c r="H423" t="s">
        <v>32</v>
      </c>
      <c r="I423">
        <v>31.93</v>
      </c>
      <c r="J423" t="s">
        <v>652</v>
      </c>
      <c r="K423" t="s">
        <v>652</v>
      </c>
    </row>
    <row r="424" spans="1:11" x14ac:dyDescent="0.5">
      <c r="A424" t="s">
        <v>891</v>
      </c>
      <c r="B424" t="s">
        <v>2817</v>
      </c>
      <c r="C424" t="s">
        <v>892</v>
      </c>
      <c r="D424" s="1">
        <v>2.1600000000000001E-2</v>
      </c>
      <c r="E424">
        <v>35.200000000000003</v>
      </c>
      <c r="F424" t="s">
        <v>651</v>
      </c>
      <c r="G424" t="s">
        <v>459</v>
      </c>
      <c r="H424" t="s">
        <v>32</v>
      </c>
      <c r="I424">
        <v>36.68</v>
      </c>
      <c r="J424" t="s">
        <v>652</v>
      </c>
      <c r="K424" t="s">
        <v>652</v>
      </c>
    </row>
    <row r="425" spans="1:11" x14ac:dyDescent="0.5">
      <c r="A425" t="s">
        <v>893</v>
      </c>
      <c r="B425" t="s">
        <v>2817</v>
      </c>
      <c r="C425" t="s">
        <v>894</v>
      </c>
      <c r="D425" s="1">
        <v>4.07E-2</v>
      </c>
      <c r="E425">
        <v>40.4</v>
      </c>
      <c r="F425" t="s">
        <v>651</v>
      </c>
      <c r="G425" t="s">
        <v>254</v>
      </c>
      <c r="H425" t="s">
        <v>32</v>
      </c>
      <c r="I425">
        <v>28.5</v>
      </c>
      <c r="J425" t="s">
        <v>652</v>
      </c>
      <c r="K425" t="s">
        <v>652</v>
      </c>
    </row>
    <row r="426" spans="1:11" x14ac:dyDescent="0.5">
      <c r="A426" t="s">
        <v>895</v>
      </c>
      <c r="B426" t="s">
        <v>2817</v>
      </c>
      <c r="C426" t="s">
        <v>896</v>
      </c>
      <c r="D426" t="s">
        <v>28</v>
      </c>
      <c r="E426">
        <v>51</v>
      </c>
      <c r="F426" t="s">
        <v>651</v>
      </c>
      <c r="G426" t="s">
        <v>253</v>
      </c>
      <c r="H426" t="s">
        <v>254</v>
      </c>
      <c r="I426">
        <v>44.73</v>
      </c>
      <c r="J426" t="s">
        <v>652</v>
      </c>
      <c r="K426" t="s">
        <v>652</v>
      </c>
    </row>
    <row r="427" spans="1:11" x14ac:dyDescent="0.5">
      <c r="A427" t="s">
        <v>897</v>
      </c>
      <c r="B427" t="s">
        <v>2817</v>
      </c>
      <c r="C427" t="s">
        <v>898</v>
      </c>
      <c r="D427" s="1">
        <v>3.85E-2</v>
      </c>
      <c r="E427">
        <v>38.1</v>
      </c>
      <c r="F427" t="s">
        <v>651</v>
      </c>
      <c r="G427" t="s">
        <v>254</v>
      </c>
      <c r="H427" t="s">
        <v>506</v>
      </c>
      <c r="I427">
        <v>29.56</v>
      </c>
      <c r="J427" t="s">
        <v>652</v>
      </c>
      <c r="K427" t="s">
        <v>652</v>
      </c>
    </row>
    <row r="428" spans="1:11" x14ac:dyDescent="0.5">
      <c r="A428" t="s">
        <v>899</v>
      </c>
      <c r="B428" t="s">
        <v>2817</v>
      </c>
      <c r="C428" t="s">
        <v>900</v>
      </c>
      <c r="D428" s="1">
        <v>4.5900000000000003E-2</v>
      </c>
      <c r="E428">
        <v>35.299999999999997</v>
      </c>
      <c r="F428" t="s">
        <v>651</v>
      </c>
      <c r="G428" t="s">
        <v>254</v>
      </c>
      <c r="H428" t="s">
        <v>506</v>
      </c>
      <c r="I428">
        <v>31.58</v>
      </c>
      <c r="J428" t="s">
        <v>652</v>
      </c>
      <c r="K428" t="s">
        <v>652</v>
      </c>
    </row>
    <row r="429" spans="1:11" x14ac:dyDescent="0.5">
      <c r="A429" t="s">
        <v>901</v>
      </c>
      <c r="B429" t="s">
        <v>2817</v>
      </c>
      <c r="C429" t="s">
        <v>902</v>
      </c>
      <c r="D429" t="s">
        <v>28</v>
      </c>
      <c r="E429">
        <v>16.899999999999999</v>
      </c>
      <c r="F429" t="s">
        <v>651</v>
      </c>
      <c r="G429" t="s">
        <v>16</v>
      </c>
      <c r="H429" t="s">
        <v>506</v>
      </c>
      <c r="I429">
        <v>26.52</v>
      </c>
      <c r="J429" t="s">
        <v>652</v>
      </c>
      <c r="K429" t="s">
        <v>652</v>
      </c>
    </row>
    <row r="430" spans="1:11" x14ac:dyDescent="0.5">
      <c r="A430" t="s">
        <v>903</v>
      </c>
      <c r="B430" t="s">
        <v>2817</v>
      </c>
      <c r="C430" t="s">
        <v>904</v>
      </c>
      <c r="D430" s="1">
        <v>2.1000000000000001E-2</v>
      </c>
      <c r="E430">
        <v>35.200000000000003</v>
      </c>
      <c r="F430" t="s">
        <v>651</v>
      </c>
      <c r="G430" t="s">
        <v>254</v>
      </c>
      <c r="H430" t="s">
        <v>506</v>
      </c>
      <c r="I430">
        <v>27.52</v>
      </c>
      <c r="J430" t="s">
        <v>652</v>
      </c>
      <c r="K430" t="s">
        <v>652</v>
      </c>
    </row>
    <row r="431" spans="1:11" x14ac:dyDescent="0.5">
      <c r="A431" t="s">
        <v>905</v>
      </c>
      <c r="B431" t="s">
        <v>2817</v>
      </c>
      <c r="C431" t="s">
        <v>906</v>
      </c>
      <c r="D431" s="1">
        <v>1.43E-2</v>
      </c>
      <c r="E431">
        <v>61.4</v>
      </c>
      <c r="F431" t="s">
        <v>651</v>
      </c>
      <c r="G431" t="s">
        <v>254</v>
      </c>
      <c r="H431" t="s">
        <v>506</v>
      </c>
      <c r="I431">
        <v>22.22</v>
      </c>
      <c r="J431" t="s">
        <v>652</v>
      </c>
      <c r="K431" t="s">
        <v>652</v>
      </c>
    </row>
    <row r="432" spans="1:11" x14ac:dyDescent="0.5">
      <c r="A432" t="s">
        <v>907</v>
      </c>
      <c r="B432" t="s">
        <v>2817</v>
      </c>
      <c r="C432" t="s">
        <v>908</v>
      </c>
      <c r="D432" s="1">
        <v>2.75E-2</v>
      </c>
      <c r="E432">
        <v>24.3</v>
      </c>
      <c r="F432" t="s">
        <v>651</v>
      </c>
      <c r="G432" t="s">
        <v>459</v>
      </c>
      <c r="H432" t="s">
        <v>32</v>
      </c>
      <c r="I432">
        <v>41.94</v>
      </c>
      <c r="J432" t="s">
        <v>652</v>
      </c>
      <c r="K432" t="s">
        <v>652</v>
      </c>
    </row>
    <row r="433" spans="1:11" x14ac:dyDescent="0.5">
      <c r="A433" t="s">
        <v>909</v>
      </c>
      <c r="B433" t="s">
        <v>2817</v>
      </c>
      <c r="C433" t="s">
        <v>910</v>
      </c>
      <c r="D433" s="1">
        <v>2.7400000000000001E-2</v>
      </c>
      <c r="E433">
        <v>22.7</v>
      </c>
      <c r="F433" t="s">
        <v>651</v>
      </c>
      <c r="G433" t="s">
        <v>459</v>
      </c>
      <c r="H433" t="s">
        <v>32</v>
      </c>
      <c r="I433">
        <v>43.46</v>
      </c>
      <c r="J433" t="s">
        <v>652</v>
      </c>
      <c r="K433" t="s">
        <v>652</v>
      </c>
    </row>
    <row r="434" spans="1:11" x14ac:dyDescent="0.5">
      <c r="A434" t="s">
        <v>911</v>
      </c>
      <c r="B434" t="s">
        <v>2817</v>
      </c>
      <c r="C434" t="s">
        <v>912</v>
      </c>
      <c r="D434" s="1">
        <v>1.1299999999999999E-2</v>
      </c>
      <c r="E434">
        <v>50.6</v>
      </c>
      <c r="F434" t="s">
        <v>651</v>
      </c>
      <c r="G434" t="s">
        <v>459</v>
      </c>
      <c r="H434" t="s">
        <v>32</v>
      </c>
      <c r="I434">
        <v>35.92</v>
      </c>
      <c r="J434" t="s">
        <v>652</v>
      </c>
      <c r="K434" t="s">
        <v>652</v>
      </c>
    </row>
    <row r="435" spans="1:11" x14ac:dyDescent="0.5">
      <c r="A435" t="s">
        <v>913</v>
      </c>
      <c r="B435" t="s">
        <v>2817</v>
      </c>
      <c r="C435" t="s">
        <v>914</v>
      </c>
      <c r="D435" s="1">
        <v>1.3599999999999999E-2</v>
      </c>
      <c r="E435">
        <v>75.8</v>
      </c>
      <c r="F435" t="s">
        <v>651</v>
      </c>
      <c r="J435" t="s">
        <v>652</v>
      </c>
      <c r="K435" t="s">
        <v>652</v>
      </c>
    </row>
    <row r="436" spans="1:11" x14ac:dyDescent="0.5">
      <c r="A436" t="s">
        <v>915</v>
      </c>
      <c r="B436" t="s">
        <v>2817</v>
      </c>
      <c r="C436" t="s">
        <v>916</v>
      </c>
      <c r="D436" s="1">
        <v>1.43E-2</v>
      </c>
      <c r="E436">
        <v>30.5</v>
      </c>
      <c r="F436" t="s">
        <v>651</v>
      </c>
      <c r="G436" t="s">
        <v>506</v>
      </c>
      <c r="H436" t="s">
        <v>254</v>
      </c>
      <c r="I436">
        <v>62.92</v>
      </c>
      <c r="J436" t="s">
        <v>652</v>
      </c>
      <c r="K436" t="s">
        <v>652</v>
      </c>
    </row>
    <row r="437" spans="1:11" x14ac:dyDescent="0.5">
      <c r="A437" t="s">
        <v>917</v>
      </c>
      <c r="B437" t="s">
        <v>2817</v>
      </c>
      <c r="C437" t="s">
        <v>918</v>
      </c>
      <c r="D437" s="1">
        <v>1.15E-2</v>
      </c>
      <c r="E437">
        <v>27</v>
      </c>
      <c r="F437" t="s">
        <v>651</v>
      </c>
      <c r="G437" t="s">
        <v>253</v>
      </c>
      <c r="H437" t="s">
        <v>16</v>
      </c>
      <c r="I437">
        <v>66.209999999999994</v>
      </c>
      <c r="J437" t="s">
        <v>652</v>
      </c>
      <c r="K437" t="s">
        <v>652</v>
      </c>
    </row>
    <row r="438" spans="1:11" x14ac:dyDescent="0.5">
      <c r="A438" t="s">
        <v>919</v>
      </c>
      <c r="B438" t="s">
        <v>2817</v>
      </c>
      <c r="C438" t="s">
        <v>920</v>
      </c>
      <c r="D438" s="1">
        <v>1.14E-2</v>
      </c>
      <c r="E438">
        <v>36.700000000000003</v>
      </c>
      <c r="F438" t="s">
        <v>651</v>
      </c>
      <c r="G438" t="s">
        <v>506</v>
      </c>
      <c r="H438" t="s">
        <v>16</v>
      </c>
      <c r="I438">
        <v>52.48</v>
      </c>
      <c r="J438" t="s">
        <v>652</v>
      </c>
      <c r="K438" t="s">
        <v>652</v>
      </c>
    </row>
    <row r="439" spans="1:11" x14ac:dyDescent="0.5">
      <c r="A439" t="s">
        <v>921</v>
      </c>
      <c r="B439" t="s">
        <v>2817</v>
      </c>
      <c r="C439" t="s">
        <v>922</v>
      </c>
      <c r="D439" s="1">
        <v>1.24E-2</v>
      </c>
      <c r="E439">
        <v>40.9</v>
      </c>
      <c r="F439" t="s">
        <v>651</v>
      </c>
      <c r="G439" t="s">
        <v>253</v>
      </c>
      <c r="H439" t="s">
        <v>16</v>
      </c>
      <c r="I439">
        <v>45.45</v>
      </c>
      <c r="J439" t="s">
        <v>652</v>
      </c>
      <c r="K439" t="s">
        <v>652</v>
      </c>
    </row>
    <row r="440" spans="1:11" x14ac:dyDescent="0.5">
      <c r="A440" t="s">
        <v>923</v>
      </c>
      <c r="B440" t="s">
        <v>2817</v>
      </c>
      <c r="C440" t="s">
        <v>924</v>
      </c>
      <c r="D440" s="1">
        <v>1.4E-2</v>
      </c>
      <c r="E440">
        <v>28</v>
      </c>
      <c r="F440" t="s">
        <v>651</v>
      </c>
      <c r="G440" t="s">
        <v>253</v>
      </c>
      <c r="H440" t="s">
        <v>16</v>
      </c>
      <c r="I440">
        <v>63.37</v>
      </c>
      <c r="J440" t="s">
        <v>652</v>
      </c>
      <c r="K440" t="s">
        <v>652</v>
      </c>
    </row>
    <row r="441" spans="1:11" x14ac:dyDescent="0.5">
      <c r="A441" t="s">
        <v>925</v>
      </c>
      <c r="B441" t="s">
        <v>2817</v>
      </c>
      <c r="C441" t="s">
        <v>926</v>
      </c>
      <c r="D441" t="s">
        <v>28</v>
      </c>
      <c r="E441">
        <v>25.4</v>
      </c>
      <c r="F441" t="s">
        <v>651</v>
      </c>
      <c r="G441" t="s">
        <v>16</v>
      </c>
      <c r="H441" t="s">
        <v>506</v>
      </c>
      <c r="I441">
        <v>6.6</v>
      </c>
      <c r="J441" t="s">
        <v>652</v>
      </c>
      <c r="K441" t="s">
        <v>652</v>
      </c>
    </row>
    <row r="442" spans="1:11" x14ac:dyDescent="0.5">
      <c r="A442" t="s">
        <v>927</v>
      </c>
      <c r="B442" t="s">
        <v>2817</v>
      </c>
      <c r="C442" t="s">
        <v>928</v>
      </c>
      <c r="D442" s="1">
        <v>2.0899999999999998E-2</v>
      </c>
      <c r="E442">
        <v>26.6</v>
      </c>
      <c r="F442" t="s">
        <v>651</v>
      </c>
      <c r="G442" t="s">
        <v>254</v>
      </c>
      <c r="H442" t="s">
        <v>506</v>
      </c>
      <c r="I442">
        <v>31.02</v>
      </c>
      <c r="J442" t="s">
        <v>652</v>
      </c>
      <c r="K442" t="s">
        <v>652</v>
      </c>
    </row>
    <row r="443" spans="1:11" x14ac:dyDescent="0.5">
      <c r="A443" t="s">
        <v>929</v>
      </c>
      <c r="B443" t="s">
        <v>2817</v>
      </c>
      <c r="C443" t="s">
        <v>930</v>
      </c>
      <c r="D443" s="1">
        <v>3.1800000000000002E-2</v>
      </c>
      <c r="E443">
        <v>33.799999999999997</v>
      </c>
      <c r="F443" t="s">
        <v>651</v>
      </c>
      <c r="G443" t="s">
        <v>253</v>
      </c>
      <c r="H443" t="s">
        <v>506</v>
      </c>
      <c r="I443">
        <v>20.21</v>
      </c>
      <c r="J443" t="s">
        <v>652</v>
      </c>
      <c r="K443" t="s">
        <v>652</v>
      </c>
    </row>
    <row r="444" spans="1:11" x14ac:dyDescent="0.5">
      <c r="A444" t="s">
        <v>931</v>
      </c>
      <c r="B444" t="s">
        <v>2817</v>
      </c>
      <c r="C444" t="s">
        <v>932</v>
      </c>
      <c r="D444" s="1">
        <v>6.4999999999999997E-3</v>
      </c>
      <c r="E444">
        <v>47.4</v>
      </c>
      <c r="F444" t="s">
        <v>651</v>
      </c>
      <c r="G444" t="s">
        <v>254</v>
      </c>
      <c r="H444" t="s">
        <v>32</v>
      </c>
      <c r="I444">
        <v>32.19</v>
      </c>
      <c r="J444" t="s">
        <v>652</v>
      </c>
      <c r="K444" t="s">
        <v>652</v>
      </c>
    </row>
    <row r="445" spans="1:11" x14ac:dyDescent="0.5">
      <c r="A445" t="s">
        <v>933</v>
      </c>
      <c r="B445" t="s">
        <v>2817</v>
      </c>
      <c r="C445" t="s">
        <v>934</v>
      </c>
      <c r="D445" s="1">
        <v>3.9300000000000002E-2</v>
      </c>
      <c r="E445">
        <v>22.5</v>
      </c>
      <c r="F445" t="s">
        <v>651</v>
      </c>
      <c r="G445" t="s">
        <v>459</v>
      </c>
      <c r="H445" t="s">
        <v>506</v>
      </c>
      <c r="I445">
        <v>34.25</v>
      </c>
      <c r="J445" t="s">
        <v>652</v>
      </c>
      <c r="K445" t="s">
        <v>652</v>
      </c>
    </row>
    <row r="446" spans="1:11" x14ac:dyDescent="0.5">
      <c r="A446" t="s">
        <v>935</v>
      </c>
      <c r="B446" t="s">
        <v>2817</v>
      </c>
      <c r="C446" t="s">
        <v>936</v>
      </c>
      <c r="D446" s="1">
        <v>7.7000000000000002E-3</v>
      </c>
      <c r="E446">
        <v>44.4</v>
      </c>
      <c r="F446" t="s">
        <v>651</v>
      </c>
      <c r="G446" t="s">
        <v>254</v>
      </c>
      <c r="H446" t="s">
        <v>32</v>
      </c>
      <c r="I446">
        <v>34.93</v>
      </c>
      <c r="J446" t="s">
        <v>652</v>
      </c>
      <c r="K446" t="s">
        <v>652</v>
      </c>
    </row>
    <row r="447" spans="1:11" x14ac:dyDescent="0.5">
      <c r="A447" t="s">
        <v>937</v>
      </c>
      <c r="B447" t="s">
        <v>2817</v>
      </c>
      <c r="C447" t="s">
        <v>938</v>
      </c>
      <c r="D447" s="1">
        <v>6.88E-2</v>
      </c>
      <c r="E447">
        <v>23.6</v>
      </c>
      <c r="F447" t="s">
        <v>651</v>
      </c>
      <c r="G447" t="s">
        <v>459</v>
      </c>
      <c r="H447" t="s">
        <v>506</v>
      </c>
      <c r="I447">
        <v>31.76</v>
      </c>
      <c r="J447" t="s">
        <v>652</v>
      </c>
      <c r="K447" t="s">
        <v>652</v>
      </c>
    </row>
    <row r="448" spans="1:11" x14ac:dyDescent="0.5">
      <c r="A448" t="s">
        <v>939</v>
      </c>
      <c r="B448" t="s">
        <v>2817</v>
      </c>
      <c r="C448" t="s">
        <v>940</v>
      </c>
      <c r="D448" s="1">
        <v>3.1199999999999999E-2</v>
      </c>
      <c r="E448">
        <v>16.399999999999999</v>
      </c>
      <c r="F448" t="s">
        <v>651</v>
      </c>
      <c r="G448" t="s">
        <v>459</v>
      </c>
      <c r="H448" t="s">
        <v>32</v>
      </c>
      <c r="I448">
        <v>41.66</v>
      </c>
      <c r="J448" t="s">
        <v>652</v>
      </c>
      <c r="K448" t="s">
        <v>652</v>
      </c>
    </row>
    <row r="449" spans="1:11" x14ac:dyDescent="0.5">
      <c r="A449" t="s">
        <v>941</v>
      </c>
      <c r="B449" t="s">
        <v>2817</v>
      </c>
      <c r="C449" t="s">
        <v>942</v>
      </c>
      <c r="D449" s="1">
        <v>5.79E-2</v>
      </c>
      <c r="E449">
        <v>22.2</v>
      </c>
      <c r="F449" t="s">
        <v>651</v>
      </c>
      <c r="G449" t="s">
        <v>254</v>
      </c>
      <c r="H449" t="s">
        <v>506</v>
      </c>
      <c r="I449">
        <v>32.56</v>
      </c>
      <c r="J449" t="s">
        <v>652</v>
      </c>
      <c r="K449" t="s">
        <v>652</v>
      </c>
    </row>
    <row r="450" spans="1:11" x14ac:dyDescent="0.5">
      <c r="A450" t="s">
        <v>943</v>
      </c>
      <c r="B450" t="s">
        <v>2817</v>
      </c>
      <c r="C450" t="s">
        <v>944</v>
      </c>
      <c r="D450" t="s">
        <v>28</v>
      </c>
      <c r="E450">
        <v>37.1</v>
      </c>
      <c r="F450" t="s">
        <v>651</v>
      </c>
      <c r="G450" t="s">
        <v>253</v>
      </c>
      <c r="H450" t="s">
        <v>254</v>
      </c>
      <c r="I450">
        <v>43.15</v>
      </c>
      <c r="J450" t="s">
        <v>652</v>
      </c>
      <c r="K450" t="s">
        <v>652</v>
      </c>
    </row>
    <row r="451" spans="1:11" x14ac:dyDescent="0.5">
      <c r="A451" t="s">
        <v>945</v>
      </c>
      <c r="B451" t="s">
        <v>2817</v>
      </c>
      <c r="C451" t="s">
        <v>946</v>
      </c>
      <c r="D451" s="1">
        <v>2.29E-2</v>
      </c>
      <c r="E451">
        <v>19.100000000000001</v>
      </c>
      <c r="F451" t="s">
        <v>651</v>
      </c>
      <c r="G451" t="s">
        <v>459</v>
      </c>
      <c r="H451" t="s">
        <v>32</v>
      </c>
      <c r="I451">
        <v>36.26</v>
      </c>
      <c r="J451" t="s">
        <v>652</v>
      </c>
      <c r="K451" t="s">
        <v>652</v>
      </c>
    </row>
    <row r="452" spans="1:11" x14ac:dyDescent="0.5">
      <c r="A452" t="s">
        <v>947</v>
      </c>
      <c r="B452" t="s">
        <v>2817</v>
      </c>
      <c r="C452" t="s">
        <v>948</v>
      </c>
      <c r="D452" s="1">
        <v>3.3700000000000001E-2</v>
      </c>
      <c r="E452">
        <v>22.2</v>
      </c>
      <c r="F452" t="s">
        <v>651</v>
      </c>
      <c r="G452" t="s">
        <v>254</v>
      </c>
      <c r="H452" t="s">
        <v>32</v>
      </c>
      <c r="I452">
        <v>31.86</v>
      </c>
      <c r="J452" t="s">
        <v>652</v>
      </c>
      <c r="K452" t="s">
        <v>652</v>
      </c>
    </row>
    <row r="453" spans="1:11" x14ac:dyDescent="0.5">
      <c r="A453" t="s">
        <v>949</v>
      </c>
      <c r="B453" t="s">
        <v>2817</v>
      </c>
      <c r="C453" t="s">
        <v>950</v>
      </c>
      <c r="D453" s="1">
        <v>1.7100000000000001E-2</v>
      </c>
      <c r="E453">
        <v>10.4</v>
      </c>
      <c r="F453" t="s">
        <v>651</v>
      </c>
      <c r="G453" t="s">
        <v>16</v>
      </c>
      <c r="H453" t="s">
        <v>506</v>
      </c>
      <c r="I453">
        <v>20.03</v>
      </c>
      <c r="J453" t="s">
        <v>652</v>
      </c>
      <c r="K453" t="s">
        <v>652</v>
      </c>
    </row>
    <row r="454" spans="1:11" x14ac:dyDescent="0.5">
      <c r="A454" t="s">
        <v>951</v>
      </c>
      <c r="B454" t="s">
        <v>2817</v>
      </c>
      <c r="C454" t="s">
        <v>952</v>
      </c>
      <c r="D454" s="1">
        <v>9.0999999999999998E-2</v>
      </c>
      <c r="E454">
        <v>11.2</v>
      </c>
      <c r="F454" t="s">
        <v>651</v>
      </c>
      <c r="G454" t="s">
        <v>506</v>
      </c>
      <c r="H454" t="s">
        <v>16</v>
      </c>
      <c r="I454">
        <v>46.52</v>
      </c>
      <c r="J454" t="s">
        <v>652</v>
      </c>
      <c r="K454" t="s">
        <v>652</v>
      </c>
    </row>
    <row r="455" spans="1:11" x14ac:dyDescent="0.5">
      <c r="A455" t="s">
        <v>953</v>
      </c>
      <c r="B455" t="s">
        <v>2817</v>
      </c>
      <c r="C455" t="s">
        <v>954</v>
      </c>
      <c r="D455" t="s">
        <v>28</v>
      </c>
      <c r="E455">
        <v>37</v>
      </c>
      <c r="F455" t="s">
        <v>651</v>
      </c>
      <c r="G455" t="s">
        <v>253</v>
      </c>
      <c r="H455" t="s">
        <v>254</v>
      </c>
      <c r="I455">
        <v>42.13</v>
      </c>
      <c r="J455" t="s">
        <v>652</v>
      </c>
      <c r="K455" t="s">
        <v>652</v>
      </c>
    </row>
    <row r="456" spans="1:11" x14ac:dyDescent="0.5">
      <c r="A456" t="s">
        <v>955</v>
      </c>
      <c r="B456" t="s">
        <v>2817</v>
      </c>
      <c r="C456" t="s">
        <v>956</v>
      </c>
      <c r="D456" t="s">
        <v>28</v>
      </c>
      <c r="E456">
        <v>35.4</v>
      </c>
      <c r="F456" t="s">
        <v>651</v>
      </c>
      <c r="G456" t="s">
        <v>253</v>
      </c>
      <c r="H456" t="s">
        <v>254</v>
      </c>
      <c r="I456">
        <v>44.15</v>
      </c>
      <c r="J456" t="s">
        <v>652</v>
      </c>
      <c r="K456" t="s">
        <v>652</v>
      </c>
    </row>
    <row r="457" spans="1:11" x14ac:dyDescent="0.5">
      <c r="A457" t="s">
        <v>957</v>
      </c>
      <c r="B457" t="s">
        <v>2817</v>
      </c>
      <c r="C457" t="s">
        <v>958</v>
      </c>
      <c r="D457" s="1">
        <v>1.11E-2</v>
      </c>
      <c r="E457">
        <v>38.6</v>
      </c>
      <c r="F457" t="s">
        <v>651</v>
      </c>
      <c r="G457" t="s">
        <v>459</v>
      </c>
      <c r="H457" t="s">
        <v>32</v>
      </c>
      <c r="I457">
        <v>39.06</v>
      </c>
      <c r="J457" t="s">
        <v>652</v>
      </c>
      <c r="K457" t="s">
        <v>652</v>
      </c>
    </row>
    <row r="458" spans="1:11" x14ac:dyDescent="0.5">
      <c r="A458" t="s">
        <v>959</v>
      </c>
      <c r="B458" t="s">
        <v>2817</v>
      </c>
      <c r="C458" t="s">
        <v>960</v>
      </c>
      <c r="D458" t="s">
        <v>28</v>
      </c>
      <c r="E458">
        <v>28.8</v>
      </c>
      <c r="F458" t="s">
        <v>651</v>
      </c>
      <c r="G458" t="s">
        <v>459</v>
      </c>
      <c r="H458" t="s">
        <v>254</v>
      </c>
      <c r="I458">
        <v>51.86</v>
      </c>
      <c r="J458" t="s">
        <v>652</v>
      </c>
      <c r="K458" t="s">
        <v>652</v>
      </c>
    </row>
    <row r="459" spans="1:11" x14ac:dyDescent="0.5">
      <c r="A459" t="s">
        <v>961</v>
      </c>
      <c r="B459" t="s">
        <v>2817</v>
      </c>
      <c r="C459" t="s">
        <v>962</v>
      </c>
      <c r="D459" s="1">
        <v>1.32E-2</v>
      </c>
      <c r="E459">
        <v>41.8</v>
      </c>
      <c r="F459" t="s">
        <v>651</v>
      </c>
      <c r="G459" t="s">
        <v>254</v>
      </c>
      <c r="H459" t="s">
        <v>32</v>
      </c>
      <c r="I459">
        <v>33.08</v>
      </c>
      <c r="J459" t="s">
        <v>652</v>
      </c>
      <c r="K459" t="s">
        <v>652</v>
      </c>
    </row>
    <row r="460" spans="1:11" x14ac:dyDescent="0.5">
      <c r="A460" t="s">
        <v>963</v>
      </c>
      <c r="B460" t="s">
        <v>2817</v>
      </c>
      <c r="C460" t="s">
        <v>964</v>
      </c>
      <c r="D460" s="1">
        <v>4.8999999999999998E-3</v>
      </c>
      <c r="E460">
        <v>36.9</v>
      </c>
      <c r="F460" t="s">
        <v>651</v>
      </c>
      <c r="G460" t="s">
        <v>459</v>
      </c>
      <c r="H460" t="s">
        <v>32</v>
      </c>
      <c r="I460">
        <v>39.299999999999997</v>
      </c>
      <c r="J460" t="s">
        <v>652</v>
      </c>
      <c r="K460" t="s">
        <v>652</v>
      </c>
    </row>
    <row r="461" spans="1:11" x14ac:dyDescent="0.5">
      <c r="A461" t="s">
        <v>965</v>
      </c>
      <c r="B461" t="s">
        <v>2817</v>
      </c>
      <c r="C461" t="s">
        <v>966</v>
      </c>
      <c r="D461" t="s">
        <v>28</v>
      </c>
      <c r="E461">
        <v>38.4</v>
      </c>
      <c r="F461" t="s">
        <v>651</v>
      </c>
      <c r="G461" t="s">
        <v>459</v>
      </c>
      <c r="H461" t="s">
        <v>32</v>
      </c>
      <c r="I461">
        <v>36.47</v>
      </c>
      <c r="J461" t="s">
        <v>652</v>
      </c>
      <c r="K461" t="s">
        <v>652</v>
      </c>
    </row>
    <row r="462" spans="1:11" x14ac:dyDescent="0.5">
      <c r="A462" t="s">
        <v>967</v>
      </c>
      <c r="B462" t="s">
        <v>2817</v>
      </c>
      <c r="C462" t="s">
        <v>968</v>
      </c>
      <c r="D462" s="1">
        <v>4.07E-2</v>
      </c>
      <c r="E462">
        <v>19.899999999999999</v>
      </c>
      <c r="F462" t="s">
        <v>651</v>
      </c>
      <c r="G462" t="s">
        <v>254</v>
      </c>
      <c r="H462" t="s">
        <v>506</v>
      </c>
      <c r="I462">
        <v>30.36</v>
      </c>
      <c r="J462" t="s">
        <v>652</v>
      </c>
      <c r="K462" t="s">
        <v>652</v>
      </c>
    </row>
    <row r="463" spans="1:11" x14ac:dyDescent="0.5">
      <c r="A463" t="s">
        <v>969</v>
      </c>
      <c r="B463" t="s">
        <v>2817</v>
      </c>
      <c r="C463" t="s">
        <v>970</v>
      </c>
      <c r="D463" s="1">
        <v>8.6999999999999994E-3</v>
      </c>
      <c r="E463">
        <v>35.5</v>
      </c>
      <c r="F463" t="s">
        <v>651</v>
      </c>
      <c r="G463" t="s">
        <v>459</v>
      </c>
      <c r="H463" t="s">
        <v>32</v>
      </c>
      <c r="I463">
        <v>40.36</v>
      </c>
      <c r="J463" t="s">
        <v>652</v>
      </c>
      <c r="K463" t="s">
        <v>652</v>
      </c>
    </row>
    <row r="464" spans="1:11" x14ac:dyDescent="0.5">
      <c r="A464" t="s">
        <v>971</v>
      </c>
      <c r="B464" t="s">
        <v>2817</v>
      </c>
      <c r="C464" t="s">
        <v>972</v>
      </c>
      <c r="D464" s="1">
        <v>4.7899999999999998E-2</v>
      </c>
      <c r="E464">
        <v>23.2</v>
      </c>
      <c r="F464" t="s">
        <v>651</v>
      </c>
      <c r="G464" t="s">
        <v>506</v>
      </c>
      <c r="H464" t="s">
        <v>32</v>
      </c>
      <c r="I464">
        <v>24.51</v>
      </c>
      <c r="J464" t="s">
        <v>652</v>
      </c>
      <c r="K464" t="s">
        <v>652</v>
      </c>
    </row>
    <row r="465" spans="1:11" x14ac:dyDescent="0.5">
      <c r="A465" t="s">
        <v>973</v>
      </c>
      <c r="B465" t="s">
        <v>2817</v>
      </c>
      <c r="C465" t="s">
        <v>974</v>
      </c>
      <c r="D465" s="1">
        <v>9.5999999999999992E-3</v>
      </c>
      <c r="E465">
        <v>16.2</v>
      </c>
      <c r="F465" t="s">
        <v>651</v>
      </c>
      <c r="G465" t="s">
        <v>459</v>
      </c>
      <c r="H465" t="s">
        <v>254</v>
      </c>
      <c r="I465">
        <v>65.540000000000006</v>
      </c>
      <c r="J465" t="s">
        <v>652</v>
      </c>
      <c r="K465" t="s">
        <v>652</v>
      </c>
    </row>
    <row r="466" spans="1:11" x14ac:dyDescent="0.5">
      <c r="A466" t="s">
        <v>975</v>
      </c>
      <c r="B466" t="s">
        <v>2817</v>
      </c>
      <c r="C466" t="s">
        <v>976</v>
      </c>
      <c r="D466" s="1">
        <v>1.0200000000000001E-2</v>
      </c>
      <c r="E466">
        <v>33.5</v>
      </c>
      <c r="F466" t="s">
        <v>651</v>
      </c>
      <c r="G466" t="s">
        <v>253</v>
      </c>
      <c r="H466" t="s">
        <v>254</v>
      </c>
      <c r="I466">
        <v>40.97</v>
      </c>
      <c r="J466" t="s">
        <v>652</v>
      </c>
      <c r="K466" t="s">
        <v>652</v>
      </c>
    </row>
    <row r="467" spans="1:11" x14ac:dyDescent="0.5">
      <c r="A467" t="s">
        <v>977</v>
      </c>
      <c r="B467" t="s">
        <v>2817</v>
      </c>
      <c r="C467" t="s">
        <v>978</v>
      </c>
      <c r="D467" t="s">
        <v>28</v>
      </c>
      <c r="E467">
        <v>30.7</v>
      </c>
      <c r="F467" t="s">
        <v>651</v>
      </c>
      <c r="G467" t="s">
        <v>253</v>
      </c>
      <c r="H467" t="s">
        <v>254</v>
      </c>
      <c r="I467">
        <v>43.57</v>
      </c>
      <c r="J467" t="s">
        <v>652</v>
      </c>
      <c r="K467" t="s">
        <v>652</v>
      </c>
    </row>
    <row r="468" spans="1:11" x14ac:dyDescent="0.5">
      <c r="A468" t="s">
        <v>979</v>
      </c>
      <c r="B468" t="s">
        <v>2817</v>
      </c>
      <c r="C468" t="s">
        <v>586</v>
      </c>
      <c r="D468" s="1">
        <v>9.5999999999999992E-3</v>
      </c>
      <c r="E468">
        <v>39.1</v>
      </c>
      <c r="F468" t="s">
        <v>651</v>
      </c>
      <c r="G468" t="s">
        <v>459</v>
      </c>
      <c r="H468" t="s">
        <v>32</v>
      </c>
      <c r="I468">
        <v>31.58</v>
      </c>
      <c r="J468" t="s">
        <v>652</v>
      </c>
      <c r="K468" t="s">
        <v>652</v>
      </c>
    </row>
    <row r="469" spans="1:11" x14ac:dyDescent="0.5">
      <c r="A469" t="s">
        <v>980</v>
      </c>
      <c r="B469" t="s">
        <v>2817</v>
      </c>
      <c r="C469" t="s">
        <v>981</v>
      </c>
      <c r="D469" s="1">
        <v>1.52E-2</v>
      </c>
      <c r="E469">
        <v>35.4</v>
      </c>
      <c r="F469" t="s">
        <v>651</v>
      </c>
      <c r="G469" t="s">
        <v>254</v>
      </c>
      <c r="H469" t="s">
        <v>32</v>
      </c>
      <c r="I469">
        <v>33.299999999999997</v>
      </c>
      <c r="J469" t="s">
        <v>652</v>
      </c>
      <c r="K469" t="s">
        <v>652</v>
      </c>
    </row>
    <row r="470" spans="1:11" x14ac:dyDescent="0.5">
      <c r="A470" t="s">
        <v>982</v>
      </c>
      <c r="B470" t="s">
        <v>2817</v>
      </c>
      <c r="C470" t="s">
        <v>983</v>
      </c>
      <c r="D470" s="1">
        <v>6.83E-2</v>
      </c>
      <c r="E470">
        <v>13.1</v>
      </c>
      <c r="F470" t="s">
        <v>651</v>
      </c>
      <c r="G470" t="s">
        <v>254</v>
      </c>
      <c r="H470" t="s">
        <v>32</v>
      </c>
      <c r="I470">
        <v>32</v>
      </c>
      <c r="J470" t="s">
        <v>652</v>
      </c>
      <c r="K470" t="s">
        <v>652</v>
      </c>
    </row>
    <row r="471" spans="1:11" x14ac:dyDescent="0.5">
      <c r="A471" t="s">
        <v>984</v>
      </c>
      <c r="B471" t="s">
        <v>2817</v>
      </c>
      <c r="C471" t="s">
        <v>985</v>
      </c>
      <c r="D471" s="1">
        <v>2.3900000000000001E-2</v>
      </c>
      <c r="E471">
        <v>16.2</v>
      </c>
      <c r="F471" t="s">
        <v>651</v>
      </c>
      <c r="G471" t="s">
        <v>459</v>
      </c>
      <c r="H471" t="s">
        <v>506</v>
      </c>
      <c r="I471">
        <v>27.25</v>
      </c>
      <c r="J471" t="s">
        <v>652</v>
      </c>
      <c r="K471" t="s">
        <v>652</v>
      </c>
    </row>
    <row r="472" spans="1:11" x14ac:dyDescent="0.5">
      <c r="A472" t="s">
        <v>986</v>
      </c>
      <c r="B472" t="s">
        <v>2817</v>
      </c>
      <c r="C472" t="s">
        <v>987</v>
      </c>
      <c r="D472" s="1">
        <v>4.6199999999999998E-2</v>
      </c>
      <c r="E472">
        <v>17.7</v>
      </c>
      <c r="F472" t="s">
        <v>651</v>
      </c>
      <c r="G472" t="s">
        <v>459</v>
      </c>
      <c r="H472" t="s">
        <v>506</v>
      </c>
      <c r="I472">
        <v>24.79</v>
      </c>
      <c r="J472" t="s">
        <v>652</v>
      </c>
      <c r="K472" t="s">
        <v>652</v>
      </c>
    </row>
    <row r="473" spans="1:11" x14ac:dyDescent="0.5">
      <c r="A473" t="s">
        <v>988</v>
      </c>
      <c r="B473" t="s">
        <v>2817</v>
      </c>
      <c r="C473" t="s">
        <v>989</v>
      </c>
      <c r="D473" t="s">
        <v>28</v>
      </c>
      <c r="E473">
        <v>33.9</v>
      </c>
      <c r="F473" t="s">
        <v>651</v>
      </c>
      <c r="G473" t="s">
        <v>459</v>
      </c>
      <c r="H473" t="s">
        <v>506</v>
      </c>
      <c r="I473">
        <v>33.6</v>
      </c>
      <c r="J473" t="s">
        <v>652</v>
      </c>
      <c r="K473" t="s">
        <v>652</v>
      </c>
    </row>
    <row r="474" spans="1:11" x14ac:dyDescent="0.5">
      <c r="A474" t="s">
        <v>990</v>
      </c>
      <c r="B474" t="s">
        <v>2817</v>
      </c>
      <c r="C474" t="s">
        <v>991</v>
      </c>
      <c r="D474" s="1">
        <v>1.8200000000000001E-2</v>
      </c>
      <c r="E474">
        <v>32.299999999999997</v>
      </c>
      <c r="F474" t="s">
        <v>651</v>
      </c>
      <c r="G474" t="s">
        <v>459</v>
      </c>
      <c r="H474" t="s">
        <v>32</v>
      </c>
      <c r="I474">
        <v>33.82</v>
      </c>
      <c r="J474" t="s">
        <v>652</v>
      </c>
      <c r="K474" t="s">
        <v>652</v>
      </c>
    </row>
    <row r="475" spans="1:11" x14ac:dyDescent="0.5">
      <c r="A475" t="s">
        <v>992</v>
      </c>
      <c r="B475" t="s">
        <v>2817</v>
      </c>
      <c r="C475" t="s">
        <v>993</v>
      </c>
      <c r="D475" t="s">
        <v>28</v>
      </c>
      <c r="E475">
        <v>17</v>
      </c>
      <c r="F475" t="s">
        <v>651</v>
      </c>
      <c r="G475" t="s">
        <v>459</v>
      </c>
      <c r="H475" t="s">
        <v>254</v>
      </c>
      <c r="I475">
        <v>54.23</v>
      </c>
      <c r="J475" t="s">
        <v>652</v>
      </c>
      <c r="K475" t="s">
        <v>652</v>
      </c>
    </row>
    <row r="476" spans="1:11" x14ac:dyDescent="0.5">
      <c r="A476" t="s">
        <v>994</v>
      </c>
      <c r="B476" t="s">
        <v>2817</v>
      </c>
      <c r="C476" t="s">
        <v>995</v>
      </c>
      <c r="D476" t="s">
        <v>28</v>
      </c>
      <c r="E476">
        <v>36.5</v>
      </c>
      <c r="F476" t="s">
        <v>651</v>
      </c>
      <c r="G476" t="s">
        <v>254</v>
      </c>
      <c r="H476" t="s">
        <v>506</v>
      </c>
      <c r="I476">
        <v>25.71</v>
      </c>
      <c r="J476" t="s">
        <v>652</v>
      </c>
      <c r="K476" t="s">
        <v>652</v>
      </c>
    </row>
    <row r="477" spans="1:11" x14ac:dyDescent="0.5">
      <c r="A477" t="s">
        <v>996</v>
      </c>
      <c r="B477" t="s">
        <v>2817</v>
      </c>
      <c r="C477" t="s">
        <v>997</v>
      </c>
      <c r="D477" s="1">
        <v>7.7000000000000002E-3</v>
      </c>
      <c r="E477">
        <v>30.2</v>
      </c>
      <c r="F477" t="s">
        <v>651</v>
      </c>
      <c r="G477" t="s">
        <v>254</v>
      </c>
      <c r="H477" t="s">
        <v>32</v>
      </c>
      <c r="I477">
        <v>34.369999999999997</v>
      </c>
      <c r="J477" t="s">
        <v>652</v>
      </c>
      <c r="K477" t="s">
        <v>652</v>
      </c>
    </row>
    <row r="478" spans="1:11" x14ac:dyDescent="0.5">
      <c r="A478" t="s">
        <v>998</v>
      </c>
      <c r="B478" t="s">
        <v>2817</v>
      </c>
      <c r="C478" t="s">
        <v>999</v>
      </c>
      <c r="D478" s="1">
        <v>4.82E-2</v>
      </c>
      <c r="E478">
        <v>11.2</v>
      </c>
      <c r="F478" t="s">
        <v>651</v>
      </c>
      <c r="G478" t="s">
        <v>459</v>
      </c>
      <c r="H478" t="s">
        <v>506</v>
      </c>
      <c r="I478">
        <v>25.75</v>
      </c>
      <c r="J478" t="s">
        <v>652</v>
      </c>
      <c r="K478" t="s">
        <v>652</v>
      </c>
    </row>
    <row r="479" spans="1:11" x14ac:dyDescent="0.5">
      <c r="A479" t="s">
        <v>1000</v>
      </c>
      <c r="B479" t="s">
        <v>2817</v>
      </c>
      <c r="C479" t="s">
        <v>1001</v>
      </c>
      <c r="D479" t="s">
        <v>28</v>
      </c>
      <c r="E479">
        <v>50.9</v>
      </c>
      <c r="F479" t="s">
        <v>651</v>
      </c>
      <c r="J479" t="s">
        <v>652</v>
      </c>
      <c r="K479" t="s">
        <v>652</v>
      </c>
    </row>
    <row r="480" spans="1:11" x14ac:dyDescent="0.5">
      <c r="A480" t="s">
        <v>1002</v>
      </c>
      <c r="B480" t="s">
        <v>2817</v>
      </c>
      <c r="C480" t="s">
        <v>1003</v>
      </c>
      <c r="D480" s="1">
        <v>2.76E-2</v>
      </c>
      <c r="E480">
        <v>22.2</v>
      </c>
      <c r="F480" t="s">
        <v>651</v>
      </c>
      <c r="G480" t="s">
        <v>459</v>
      </c>
      <c r="H480" t="s">
        <v>506</v>
      </c>
      <c r="I480">
        <v>6.6</v>
      </c>
      <c r="J480" t="s">
        <v>652</v>
      </c>
      <c r="K480" t="s">
        <v>652</v>
      </c>
    </row>
    <row r="481" spans="1:11" x14ac:dyDescent="0.5">
      <c r="A481" t="s">
        <v>1004</v>
      </c>
      <c r="B481" t="s">
        <v>2817</v>
      </c>
      <c r="C481" t="s">
        <v>1005</v>
      </c>
      <c r="D481" s="1">
        <v>1.14E-2</v>
      </c>
      <c r="E481">
        <v>19.100000000000001</v>
      </c>
      <c r="F481" t="s">
        <v>651</v>
      </c>
      <c r="G481" t="s">
        <v>459</v>
      </c>
      <c r="H481" t="s">
        <v>32</v>
      </c>
      <c r="I481">
        <v>41.68</v>
      </c>
      <c r="J481" t="s">
        <v>652</v>
      </c>
      <c r="K481" t="s">
        <v>652</v>
      </c>
    </row>
    <row r="482" spans="1:11" x14ac:dyDescent="0.5">
      <c r="A482" t="s">
        <v>1006</v>
      </c>
      <c r="B482" t="s">
        <v>2817</v>
      </c>
      <c r="C482" t="s">
        <v>1007</v>
      </c>
      <c r="D482" s="1">
        <v>1.52E-2</v>
      </c>
      <c r="E482">
        <v>22.8</v>
      </c>
      <c r="F482" t="s">
        <v>651</v>
      </c>
      <c r="G482" t="s">
        <v>459</v>
      </c>
      <c r="H482" t="s">
        <v>506</v>
      </c>
      <c r="I482">
        <v>33.409999999999997</v>
      </c>
      <c r="J482" t="s">
        <v>652</v>
      </c>
      <c r="K482" t="s">
        <v>652</v>
      </c>
    </row>
    <row r="483" spans="1:11" x14ac:dyDescent="0.5">
      <c r="A483" t="s">
        <v>1008</v>
      </c>
      <c r="B483" t="s">
        <v>2817</v>
      </c>
      <c r="C483" t="s">
        <v>1009</v>
      </c>
      <c r="D483" s="1">
        <v>3.7699999999999997E-2</v>
      </c>
      <c r="E483">
        <v>18.3</v>
      </c>
      <c r="F483" t="s">
        <v>651</v>
      </c>
      <c r="G483" t="s">
        <v>254</v>
      </c>
      <c r="H483" t="s">
        <v>506</v>
      </c>
      <c r="I483">
        <v>6.6</v>
      </c>
      <c r="J483" t="s">
        <v>652</v>
      </c>
      <c r="K483" t="s">
        <v>652</v>
      </c>
    </row>
    <row r="484" spans="1:11" x14ac:dyDescent="0.5">
      <c r="A484" t="s">
        <v>1010</v>
      </c>
      <c r="B484" t="s">
        <v>2817</v>
      </c>
      <c r="C484" t="s">
        <v>1011</v>
      </c>
      <c r="D484" s="1">
        <v>3.9300000000000002E-2</v>
      </c>
      <c r="E484">
        <v>18.100000000000001</v>
      </c>
      <c r="F484" t="s">
        <v>651</v>
      </c>
      <c r="G484" t="s">
        <v>459</v>
      </c>
      <c r="H484" t="s">
        <v>506</v>
      </c>
      <c r="I484">
        <v>6.6</v>
      </c>
      <c r="J484" t="s">
        <v>652</v>
      </c>
      <c r="K484" t="s">
        <v>652</v>
      </c>
    </row>
    <row r="485" spans="1:11" x14ac:dyDescent="0.5">
      <c r="A485" t="s">
        <v>1012</v>
      </c>
      <c r="B485" t="s">
        <v>2817</v>
      </c>
      <c r="C485" t="s">
        <v>1013</v>
      </c>
      <c r="D485" s="1">
        <v>1.8599999999999998E-2</v>
      </c>
      <c r="E485">
        <v>23.7</v>
      </c>
      <c r="F485" t="s">
        <v>651</v>
      </c>
      <c r="G485" t="s">
        <v>254</v>
      </c>
      <c r="H485" t="s">
        <v>32</v>
      </c>
      <c r="I485">
        <v>28.33</v>
      </c>
      <c r="J485" t="s">
        <v>652</v>
      </c>
      <c r="K485" t="s">
        <v>652</v>
      </c>
    </row>
    <row r="486" spans="1:11" x14ac:dyDescent="0.5">
      <c r="A486" t="s">
        <v>1014</v>
      </c>
      <c r="B486" t="s">
        <v>2817</v>
      </c>
      <c r="C486" t="s">
        <v>1015</v>
      </c>
      <c r="D486" s="1">
        <v>4.7000000000000002E-3</v>
      </c>
      <c r="E486">
        <v>25.8</v>
      </c>
      <c r="F486" t="s">
        <v>651</v>
      </c>
      <c r="G486" t="s">
        <v>254</v>
      </c>
      <c r="H486" t="s">
        <v>506</v>
      </c>
      <c r="I486">
        <v>25.1</v>
      </c>
      <c r="J486" t="s">
        <v>652</v>
      </c>
      <c r="K486" t="s">
        <v>652</v>
      </c>
    </row>
    <row r="487" spans="1:11" x14ac:dyDescent="0.5">
      <c r="A487" t="s">
        <v>1016</v>
      </c>
      <c r="B487" t="s">
        <v>2817</v>
      </c>
      <c r="C487" t="s">
        <v>1017</v>
      </c>
      <c r="D487" t="s">
        <v>28</v>
      </c>
      <c r="E487">
        <v>20.3</v>
      </c>
      <c r="F487" t="s">
        <v>651</v>
      </c>
      <c r="G487" t="s">
        <v>254</v>
      </c>
      <c r="H487" t="s">
        <v>32</v>
      </c>
      <c r="I487">
        <v>32.659999999999997</v>
      </c>
      <c r="J487" t="s">
        <v>652</v>
      </c>
      <c r="K487" t="s">
        <v>652</v>
      </c>
    </row>
    <row r="488" spans="1:11" x14ac:dyDescent="0.5">
      <c r="A488" t="s">
        <v>1018</v>
      </c>
      <c r="B488" t="s">
        <v>2817</v>
      </c>
      <c r="C488" t="s">
        <v>1019</v>
      </c>
      <c r="D488" s="1">
        <v>1.2999999999999999E-2</v>
      </c>
      <c r="E488">
        <v>21.6</v>
      </c>
      <c r="F488" t="s">
        <v>651</v>
      </c>
      <c r="G488" t="s">
        <v>459</v>
      </c>
      <c r="H488" t="s">
        <v>506</v>
      </c>
      <c r="I488">
        <v>30.43</v>
      </c>
      <c r="J488" t="s">
        <v>652</v>
      </c>
      <c r="K488" t="s">
        <v>652</v>
      </c>
    </row>
    <row r="489" spans="1:11" x14ac:dyDescent="0.5">
      <c r="A489" t="s">
        <v>1020</v>
      </c>
      <c r="B489" t="s">
        <v>2817</v>
      </c>
      <c r="C489" t="s">
        <v>1021</v>
      </c>
      <c r="D489" s="1">
        <v>1.67E-2</v>
      </c>
      <c r="E489">
        <v>12.6</v>
      </c>
      <c r="F489" t="s">
        <v>651</v>
      </c>
      <c r="G489" t="s">
        <v>459</v>
      </c>
      <c r="H489" t="s">
        <v>254</v>
      </c>
      <c r="I489">
        <v>42.25</v>
      </c>
      <c r="J489" t="s">
        <v>652</v>
      </c>
      <c r="K489" t="s">
        <v>652</v>
      </c>
    </row>
    <row r="490" spans="1:11" x14ac:dyDescent="0.5">
      <c r="A490" t="s">
        <v>1022</v>
      </c>
      <c r="B490" t="s">
        <v>2817</v>
      </c>
      <c r="C490" t="s">
        <v>1023</v>
      </c>
      <c r="D490" s="1">
        <v>1.5800000000000002E-2</v>
      </c>
      <c r="E490">
        <v>20.399999999999999</v>
      </c>
      <c r="F490" t="s">
        <v>651</v>
      </c>
      <c r="G490" t="s">
        <v>459</v>
      </c>
      <c r="H490" t="s">
        <v>506</v>
      </c>
      <c r="I490">
        <v>30.15</v>
      </c>
      <c r="J490" t="s">
        <v>652</v>
      </c>
      <c r="K490" t="s">
        <v>652</v>
      </c>
    </row>
    <row r="491" spans="1:11" x14ac:dyDescent="0.5">
      <c r="A491" t="s">
        <v>1024</v>
      </c>
      <c r="B491" t="s">
        <v>2817</v>
      </c>
      <c r="C491" t="s">
        <v>1025</v>
      </c>
      <c r="D491" s="1">
        <v>1.03E-2</v>
      </c>
      <c r="E491">
        <v>19.399999999999999</v>
      </c>
      <c r="F491" t="s">
        <v>651</v>
      </c>
      <c r="G491" t="s">
        <v>254</v>
      </c>
      <c r="H491" t="s">
        <v>506</v>
      </c>
      <c r="I491">
        <v>31.4</v>
      </c>
      <c r="J491" t="s">
        <v>652</v>
      </c>
      <c r="K491" t="s">
        <v>652</v>
      </c>
    </row>
    <row r="492" spans="1:11" x14ac:dyDescent="0.5">
      <c r="A492" t="s">
        <v>1026</v>
      </c>
      <c r="B492" t="s">
        <v>2817</v>
      </c>
      <c r="C492" t="s">
        <v>1027</v>
      </c>
      <c r="D492" t="s">
        <v>28</v>
      </c>
      <c r="E492">
        <v>24.7</v>
      </c>
      <c r="F492" t="s">
        <v>651</v>
      </c>
      <c r="G492" t="s">
        <v>253</v>
      </c>
      <c r="H492" t="s">
        <v>506</v>
      </c>
      <c r="I492">
        <v>22.98</v>
      </c>
      <c r="J492" t="s">
        <v>652</v>
      </c>
      <c r="K492" t="s">
        <v>652</v>
      </c>
    </row>
    <row r="493" spans="1:11" x14ac:dyDescent="0.5">
      <c r="A493" t="s">
        <v>1028</v>
      </c>
      <c r="B493" t="s">
        <v>2817</v>
      </c>
      <c r="C493" t="s">
        <v>1029</v>
      </c>
      <c r="D493" s="1">
        <v>1.1900000000000001E-2</v>
      </c>
      <c r="E493">
        <v>18.2</v>
      </c>
      <c r="F493" t="s">
        <v>651</v>
      </c>
      <c r="G493" t="s">
        <v>254</v>
      </c>
      <c r="H493" t="s">
        <v>506</v>
      </c>
      <c r="I493">
        <v>28.96</v>
      </c>
      <c r="J493" t="s">
        <v>652</v>
      </c>
      <c r="K493" t="s">
        <v>652</v>
      </c>
    </row>
    <row r="494" spans="1:11" x14ac:dyDescent="0.5">
      <c r="A494" t="s">
        <v>1030</v>
      </c>
      <c r="B494" t="s">
        <v>2817</v>
      </c>
      <c r="C494" t="s">
        <v>1031</v>
      </c>
      <c r="D494" t="s">
        <v>28</v>
      </c>
      <c r="E494">
        <v>14.6</v>
      </c>
      <c r="F494" t="s">
        <v>651</v>
      </c>
      <c r="G494" t="s">
        <v>459</v>
      </c>
      <c r="H494" t="s">
        <v>32</v>
      </c>
      <c r="I494">
        <v>33.590000000000003</v>
      </c>
      <c r="J494" t="s">
        <v>652</v>
      </c>
      <c r="K494" t="s">
        <v>652</v>
      </c>
    </row>
    <row r="495" spans="1:11" x14ac:dyDescent="0.5">
      <c r="A495" t="s">
        <v>1032</v>
      </c>
      <c r="B495" t="s">
        <v>2817</v>
      </c>
      <c r="C495" t="s">
        <v>1033</v>
      </c>
      <c r="D495" t="s">
        <v>28</v>
      </c>
      <c r="E495">
        <v>10.3</v>
      </c>
      <c r="F495" t="s">
        <v>651</v>
      </c>
      <c r="G495" t="s">
        <v>459</v>
      </c>
      <c r="H495" t="s">
        <v>32</v>
      </c>
      <c r="I495">
        <v>39.19</v>
      </c>
      <c r="J495" t="s">
        <v>652</v>
      </c>
      <c r="K495" t="s">
        <v>652</v>
      </c>
    </row>
    <row r="496" spans="1:11" x14ac:dyDescent="0.5">
      <c r="A496" t="s">
        <v>1034</v>
      </c>
      <c r="B496" t="s">
        <v>2817</v>
      </c>
      <c r="C496" t="s">
        <v>1035</v>
      </c>
      <c r="D496" s="1">
        <v>9.4000000000000004E-3</v>
      </c>
      <c r="E496">
        <v>18.600000000000001</v>
      </c>
      <c r="F496" t="s">
        <v>651</v>
      </c>
      <c r="G496" t="s">
        <v>254</v>
      </c>
      <c r="H496" t="s">
        <v>32</v>
      </c>
      <c r="I496">
        <v>21.27</v>
      </c>
      <c r="J496" t="s">
        <v>652</v>
      </c>
      <c r="K496" t="s">
        <v>652</v>
      </c>
    </row>
    <row r="497" spans="1:12" x14ac:dyDescent="0.5">
      <c r="A497" t="s">
        <v>1036</v>
      </c>
      <c r="B497" t="s">
        <v>2817</v>
      </c>
      <c r="C497" t="s">
        <v>1037</v>
      </c>
      <c r="D497" t="s">
        <v>28</v>
      </c>
      <c r="E497">
        <v>4.9000000000000004</v>
      </c>
      <c r="F497" t="s">
        <v>651</v>
      </c>
      <c r="G497" t="s">
        <v>459</v>
      </c>
      <c r="H497" t="s">
        <v>32</v>
      </c>
      <c r="I497">
        <v>38.090000000000003</v>
      </c>
      <c r="J497" t="s">
        <v>652</v>
      </c>
      <c r="K497" t="s">
        <v>652</v>
      </c>
    </row>
    <row r="498" spans="1:12" x14ac:dyDescent="0.5">
      <c r="A498" t="s">
        <v>1038</v>
      </c>
      <c r="B498" t="s">
        <v>2817</v>
      </c>
      <c r="C498" t="s">
        <v>1039</v>
      </c>
      <c r="D498" s="1">
        <v>1.7600000000000001E-2</v>
      </c>
      <c r="E498">
        <v>9</v>
      </c>
      <c r="F498" t="s">
        <v>651</v>
      </c>
      <c r="G498" t="s">
        <v>254</v>
      </c>
      <c r="H498" t="s">
        <v>506</v>
      </c>
      <c r="I498">
        <v>31.84</v>
      </c>
      <c r="J498" t="s">
        <v>652</v>
      </c>
      <c r="K498" t="s">
        <v>652</v>
      </c>
    </row>
    <row r="499" spans="1:12" x14ac:dyDescent="0.5">
      <c r="A499" t="s">
        <v>1040</v>
      </c>
      <c r="B499" t="s">
        <v>2817</v>
      </c>
      <c r="C499" t="s">
        <v>1041</v>
      </c>
      <c r="D499" s="1">
        <v>9.2999999999999992E-3</v>
      </c>
      <c r="E499">
        <v>14.2</v>
      </c>
      <c r="F499" t="s">
        <v>651</v>
      </c>
      <c r="G499" t="s">
        <v>254</v>
      </c>
      <c r="H499" t="s">
        <v>506</v>
      </c>
      <c r="I499">
        <v>18.47</v>
      </c>
      <c r="J499" t="s">
        <v>652</v>
      </c>
      <c r="K499" t="s">
        <v>652</v>
      </c>
    </row>
    <row r="500" spans="1:12" x14ac:dyDescent="0.5">
      <c r="A500" t="s">
        <v>1042</v>
      </c>
      <c r="B500" t="s">
        <v>2817</v>
      </c>
      <c r="C500" t="s">
        <v>1043</v>
      </c>
      <c r="D500" t="s">
        <v>28</v>
      </c>
      <c r="E500">
        <v>14.3</v>
      </c>
      <c r="F500" t="s">
        <v>651</v>
      </c>
      <c r="J500" t="s">
        <v>652</v>
      </c>
      <c r="K500" t="s">
        <v>652</v>
      </c>
    </row>
    <row r="501" spans="1:12" x14ac:dyDescent="0.5">
      <c r="A501" t="s">
        <v>1044</v>
      </c>
      <c r="B501" t="s">
        <v>2817</v>
      </c>
      <c r="C501" t="s">
        <v>1045</v>
      </c>
      <c r="D501" t="s">
        <v>28</v>
      </c>
      <c r="E501">
        <v>13.2</v>
      </c>
      <c r="F501" t="s">
        <v>651</v>
      </c>
      <c r="J501" t="s">
        <v>652</v>
      </c>
      <c r="K501" t="s">
        <v>652</v>
      </c>
    </row>
    <row r="502" spans="1:12" x14ac:dyDescent="0.5">
      <c r="A502" t="s">
        <v>1046</v>
      </c>
      <c r="B502" t="s">
        <v>2817</v>
      </c>
      <c r="C502" t="s">
        <v>1047</v>
      </c>
      <c r="D502" t="s">
        <v>28</v>
      </c>
      <c r="E502">
        <v>4.8</v>
      </c>
      <c r="F502" t="s">
        <v>651</v>
      </c>
      <c r="G502" t="s">
        <v>459</v>
      </c>
      <c r="H502" t="s">
        <v>506</v>
      </c>
      <c r="I502">
        <v>6.6</v>
      </c>
      <c r="J502" t="s">
        <v>652</v>
      </c>
      <c r="K502" t="s">
        <v>652</v>
      </c>
    </row>
    <row r="503" spans="1:12" x14ac:dyDescent="0.5">
      <c r="A503" t="s">
        <v>1048</v>
      </c>
      <c r="B503" t="s">
        <v>2817</v>
      </c>
      <c r="C503" t="s">
        <v>1049</v>
      </c>
      <c r="D503" t="s">
        <v>28</v>
      </c>
      <c r="E503">
        <v>4.5</v>
      </c>
      <c r="F503" t="s">
        <v>651</v>
      </c>
      <c r="G503" t="s">
        <v>459</v>
      </c>
      <c r="H503" t="s">
        <v>506</v>
      </c>
      <c r="I503">
        <v>6.6</v>
      </c>
      <c r="J503" t="s">
        <v>652</v>
      </c>
      <c r="K503" t="s">
        <v>652</v>
      </c>
    </row>
    <row r="504" spans="1:12" x14ac:dyDescent="0.5">
      <c r="A504" t="s">
        <v>1050</v>
      </c>
      <c r="B504" t="s">
        <v>1051</v>
      </c>
      <c r="C504" t="s">
        <v>1052</v>
      </c>
      <c r="D504" s="1">
        <v>9.2999999999999992E-3</v>
      </c>
      <c r="E504">
        <v>40.6</v>
      </c>
      <c r="F504" t="s">
        <v>14</v>
      </c>
      <c r="G504" t="s">
        <v>15</v>
      </c>
      <c r="H504" t="s">
        <v>16</v>
      </c>
      <c r="I504">
        <v>100</v>
      </c>
      <c r="J504" t="s">
        <v>17</v>
      </c>
      <c r="K504" t="s">
        <v>18</v>
      </c>
      <c r="L504" t="s">
        <v>1053</v>
      </c>
    </row>
    <row r="505" spans="1:12" x14ac:dyDescent="0.5">
      <c r="A505" t="s">
        <v>1054</v>
      </c>
      <c r="B505" t="s">
        <v>1051</v>
      </c>
      <c r="C505" t="s">
        <v>1055</v>
      </c>
      <c r="D505" s="1">
        <v>2.5399999999999999E-2</v>
      </c>
      <c r="E505">
        <v>32.700000000000003</v>
      </c>
      <c r="F505" t="s">
        <v>14</v>
      </c>
      <c r="G505" t="s">
        <v>15</v>
      </c>
      <c r="H505" t="s">
        <v>16</v>
      </c>
      <c r="I505">
        <v>100</v>
      </c>
      <c r="J505" t="s">
        <v>17</v>
      </c>
      <c r="K505" t="s">
        <v>18</v>
      </c>
      <c r="L505" t="s">
        <v>1056</v>
      </c>
    </row>
    <row r="506" spans="1:12" x14ac:dyDescent="0.5">
      <c r="A506" t="s">
        <v>1057</v>
      </c>
      <c r="B506" t="s">
        <v>1051</v>
      </c>
      <c r="C506" t="s">
        <v>1058</v>
      </c>
      <c r="D506" s="1">
        <v>2.0400000000000001E-2</v>
      </c>
      <c r="E506">
        <v>55.2</v>
      </c>
      <c r="F506" t="s">
        <v>14</v>
      </c>
      <c r="G506" t="s">
        <v>15</v>
      </c>
      <c r="H506" t="s">
        <v>16</v>
      </c>
      <c r="I506">
        <v>100</v>
      </c>
      <c r="J506" t="s">
        <v>53</v>
      </c>
      <c r="K506" t="s">
        <v>18</v>
      </c>
    </row>
    <row r="507" spans="1:12" x14ac:dyDescent="0.5">
      <c r="A507" t="s">
        <v>1059</v>
      </c>
      <c r="B507" t="s">
        <v>1051</v>
      </c>
      <c r="C507" t="s">
        <v>1060</v>
      </c>
      <c r="D507" s="1">
        <v>2.5499999999999998E-2</v>
      </c>
      <c r="E507">
        <v>54.7</v>
      </c>
      <c r="F507" t="s">
        <v>14</v>
      </c>
      <c r="G507" t="s">
        <v>15</v>
      </c>
      <c r="H507" t="s">
        <v>16</v>
      </c>
      <c r="I507">
        <v>100</v>
      </c>
      <c r="J507" t="s">
        <v>53</v>
      </c>
      <c r="K507" t="s">
        <v>18</v>
      </c>
    </row>
    <row r="508" spans="1:12" x14ac:dyDescent="0.5">
      <c r="A508" t="s">
        <v>1061</v>
      </c>
      <c r="B508" t="s">
        <v>1051</v>
      </c>
      <c r="C508" t="s">
        <v>1062</v>
      </c>
      <c r="D508" s="1">
        <v>2.2800000000000001E-2</v>
      </c>
      <c r="E508">
        <v>53.8</v>
      </c>
      <c r="F508" t="s">
        <v>14</v>
      </c>
      <c r="G508" t="s">
        <v>15</v>
      </c>
      <c r="H508" t="s">
        <v>16</v>
      </c>
      <c r="I508">
        <v>100</v>
      </c>
      <c r="J508" t="s">
        <v>53</v>
      </c>
      <c r="K508" t="s">
        <v>18</v>
      </c>
    </row>
    <row r="509" spans="1:12" x14ac:dyDescent="0.5">
      <c r="A509" t="s">
        <v>1063</v>
      </c>
      <c r="B509" t="s">
        <v>1051</v>
      </c>
      <c r="C509" t="s">
        <v>1064</v>
      </c>
      <c r="D509" s="1">
        <v>0.11119999999999999</v>
      </c>
      <c r="E509">
        <v>53.6</v>
      </c>
      <c r="F509" t="s">
        <v>14</v>
      </c>
      <c r="G509" t="s">
        <v>15</v>
      </c>
      <c r="H509" t="s">
        <v>16</v>
      </c>
      <c r="I509">
        <v>100</v>
      </c>
      <c r="J509" t="s">
        <v>53</v>
      </c>
      <c r="K509" t="s">
        <v>18</v>
      </c>
    </row>
    <row r="510" spans="1:12" x14ac:dyDescent="0.5">
      <c r="A510" t="s">
        <v>1065</v>
      </c>
      <c r="B510" t="s">
        <v>1051</v>
      </c>
      <c r="C510" t="s">
        <v>1066</v>
      </c>
      <c r="D510" s="1">
        <v>2.12E-2</v>
      </c>
      <c r="E510">
        <v>52.1</v>
      </c>
      <c r="F510" t="s">
        <v>14</v>
      </c>
      <c r="G510" t="s">
        <v>15</v>
      </c>
      <c r="H510" t="s">
        <v>16</v>
      </c>
      <c r="I510">
        <v>100</v>
      </c>
      <c r="J510" t="s">
        <v>53</v>
      </c>
      <c r="K510" t="s">
        <v>18</v>
      </c>
    </row>
    <row r="511" spans="1:12" x14ac:dyDescent="0.5">
      <c r="A511" t="s">
        <v>1067</v>
      </c>
      <c r="B511" t="s">
        <v>1051</v>
      </c>
      <c r="C511" t="s">
        <v>1068</v>
      </c>
      <c r="D511" s="1">
        <v>2.12E-2</v>
      </c>
      <c r="E511">
        <v>49.6</v>
      </c>
      <c r="F511" t="s">
        <v>14</v>
      </c>
      <c r="G511" t="s">
        <v>15</v>
      </c>
      <c r="H511" t="s">
        <v>16</v>
      </c>
      <c r="I511">
        <v>100</v>
      </c>
      <c r="J511" t="s">
        <v>53</v>
      </c>
      <c r="K511" t="s">
        <v>18</v>
      </c>
    </row>
    <row r="512" spans="1:12" x14ac:dyDescent="0.5">
      <c r="A512" t="s">
        <v>1069</v>
      </c>
      <c r="B512" t="s">
        <v>1051</v>
      </c>
      <c r="C512" t="s">
        <v>1070</v>
      </c>
      <c r="D512" s="1">
        <v>3.0599999999999999E-2</v>
      </c>
      <c r="E512">
        <v>48.6</v>
      </c>
      <c r="F512" t="s">
        <v>14</v>
      </c>
      <c r="G512" t="s">
        <v>15</v>
      </c>
      <c r="H512" t="s">
        <v>16</v>
      </c>
      <c r="I512">
        <v>100</v>
      </c>
      <c r="J512" t="s">
        <v>53</v>
      </c>
      <c r="K512" t="s">
        <v>18</v>
      </c>
    </row>
    <row r="513" spans="1:11" x14ac:dyDescent="0.5">
      <c r="A513" t="s">
        <v>1071</v>
      </c>
      <c r="B513" t="s">
        <v>1051</v>
      </c>
      <c r="C513" t="s">
        <v>1072</v>
      </c>
      <c r="D513" s="1">
        <v>2.4299999999999999E-2</v>
      </c>
      <c r="E513">
        <v>53.8</v>
      </c>
      <c r="F513" t="s">
        <v>14</v>
      </c>
      <c r="G513" t="s">
        <v>15</v>
      </c>
      <c r="H513" t="s">
        <v>16</v>
      </c>
      <c r="I513">
        <v>92.29</v>
      </c>
      <c r="J513" t="s">
        <v>53</v>
      </c>
      <c r="K513" t="s">
        <v>18</v>
      </c>
    </row>
    <row r="514" spans="1:11" x14ac:dyDescent="0.5">
      <c r="A514" t="s">
        <v>1073</v>
      </c>
      <c r="B514" t="s">
        <v>1051</v>
      </c>
      <c r="C514" t="s">
        <v>1074</v>
      </c>
      <c r="D514" s="1">
        <v>2.5399999999999999E-2</v>
      </c>
      <c r="E514">
        <v>46.4</v>
      </c>
      <c r="F514" t="s">
        <v>14</v>
      </c>
      <c r="G514" t="s">
        <v>15</v>
      </c>
      <c r="H514" t="s">
        <v>16</v>
      </c>
      <c r="I514">
        <v>100</v>
      </c>
      <c r="J514" t="s">
        <v>53</v>
      </c>
      <c r="K514" t="s">
        <v>18</v>
      </c>
    </row>
    <row r="515" spans="1:11" x14ac:dyDescent="0.5">
      <c r="A515" t="s">
        <v>1075</v>
      </c>
      <c r="B515" t="s">
        <v>1051</v>
      </c>
      <c r="C515" t="s">
        <v>1076</v>
      </c>
      <c r="D515" s="1">
        <v>1.4500000000000001E-2</v>
      </c>
      <c r="E515">
        <v>69</v>
      </c>
      <c r="F515" t="s">
        <v>14</v>
      </c>
      <c r="G515" t="s">
        <v>15</v>
      </c>
      <c r="H515" t="s">
        <v>16</v>
      </c>
      <c r="I515">
        <v>100</v>
      </c>
      <c r="J515" t="s">
        <v>53</v>
      </c>
      <c r="K515" t="s">
        <v>18</v>
      </c>
    </row>
    <row r="516" spans="1:11" x14ac:dyDescent="0.5">
      <c r="A516" t="s">
        <v>1077</v>
      </c>
      <c r="B516" t="s">
        <v>1051</v>
      </c>
      <c r="C516" t="s">
        <v>1078</v>
      </c>
      <c r="D516" s="1">
        <v>3.0700000000000002E-2</v>
      </c>
      <c r="E516">
        <v>44.6</v>
      </c>
      <c r="F516" t="s">
        <v>14</v>
      </c>
      <c r="G516" t="s">
        <v>15</v>
      </c>
      <c r="H516" t="s">
        <v>16</v>
      </c>
      <c r="I516">
        <v>100</v>
      </c>
      <c r="J516" t="s">
        <v>53</v>
      </c>
      <c r="K516" t="s">
        <v>18</v>
      </c>
    </row>
    <row r="517" spans="1:11" x14ac:dyDescent="0.5">
      <c r="A517" t="s">
        <v>1079</v>
      </c>
      <c r="B517" t="s">
        <v>1051</v>
      </c>
      <c r="C517" t="s">
        <v>1080</v>
      </c>
      <c r="D517" s="1">
        <v>4.5600000000000002E-2</v>
      </c>
      <c r="E517">
        <v>44.4</v>
      </c>
      <c r="F517" t="s">
        <v>14</v>
      </c>
      <c r="G517" t="s">
        <v>15</v>
      </c>
      <c r="H517" t="s">
        <v>16</v>
      </c>
      <c r="I517">
        <v>100</v>
      </c>
      <c r="J517" t="s">
        <v>53</v>
      </c>
      <c r="K517" t="s">
        <v>18</v>
      </c>
    </row>
    <row r="518" spans="1:11" x14ac:dyDescent="0.5">
      <c r="A518" t="s">
        <v>1081</v>
      </c>
      <c r="B518" t="s">
        <v>1051</v>
      </c>
      <c r="C518" t="s">
        <v>1082</v>
      </c>
      <c r="D518" s="1">
        <v>2.1100000000000001E-2</v>
      </c>
      <c r="E518">
        <v>44.4</v>
      </c>
      <c r="F518" t="s">
        <v>14</v>
      </c>
      <c r="G518" t="s">
        <v>15</v>
      </c>
      <c r="H518" t="s">
        <v>16</v>
      </c>
      <c r="I518">
        <v>100</v>
      </c>
      <c r="J518" t="s">
        <v>53</v>
      </c>
      <c r="K518" t="s">
        <v>18</v>
      </c>
    </row>
    <row r="519" spans="1:11" x14ac:dyDescent="0.5">
      <c r="A519" t="s">
        <v>1083</v>
      </c>
      <c r="B519" t="s">
        <v>1051</v>
      </c>
      <c r="C519" t="s">
        <v>1084</v>
      </c>
      <c r="D519" s="1">
        <v>2.8E-3</v>
      </c>
      <c r="E519">
        <v>73.099999999999994</v>
      </c>
      <c r="F519" t="s">
        <v>14</v>
      </c>
      <c r="G519" t="s">
        <v>15</v>
      </c>
      <c r="H519" t="s">
        <v>16</v>
      </c>
      <c r="I519">
        <v>91.71</v>
      </c>
      <c r="J519" t="s">
        <v>53</v>
      </c>
      <c r="K519" t="s">
        <v>18</v>
      </c>
    </row>
    <row r="520" spans="1:11" x14ac:dyDescent="0.5">
      <c r="A520" t="s">
        <v>1085</v>
      </c>
      <c r="B520" t="s">
        <v>1051</v>
      </c>
      <c r="C520" t="s">
        <v>1086</v>
      </c>
      <c r="D520" s="1">
        <v>2.1899999999999999E-2</v>
      </c>
      <c r="E520">
        <v>43.3</v>
      </c>
      <c r="F520" t="s">
        <v>14</v>
      </c>
      <c r="G520" t="s">
        <v>15</v>
      </c>
      <c r="H520" t="s">
        <v>16</v>
      </c>
      <c r="I520">
        <v>100</v>
      </c>
      <c r="J520" t="s">
        <v>53</v>
      </c>
      <c r="K520" t="s">
        <v>18</v>
      </c>
    </row>
    <row r="521" spans="1:11" x14ac:dyDescent="0.5">
      <c r="A521" t="s">
        <v>1087</v>
      </c>
      <c r="B521" t="s">
        <v>1051</v>
      </c>
      <c r="C521" t="s">
        <v>1088</v>
      </c>
      <c r="D521" s="1">
        <v>2.1000000000000001E-2</v>
      </c>
      <c r="E521">
        <v>41.5</v>
      </c>
      <c r="F521" t="s">
        <v>14</v>
      </c>
      <c r="G521" t="s">
        <v>15</v>
      </c>
      <c r="H521" t="s">
        <v>16</v>
      </c>
      <c r="I521">
        <v>100</v>
      </c>
      <c r="J521" t="s">
        <v>53</v>
      </c>
      <c r="K521" t="s">
        <v>18</v>
      </c>
    </row>
    <row r="522" spans="1:11" x14ac:dyDescent="0.5">
      <c r="A522" t="s">
        <v>1089</v>
      </c>
      <c r="B522" t="s">
        <v>1051</v>
      </c>
      <c r="C522" t="s">
        <v>1090</v>
      </c>
      <c r="D522" s="1">
        <v>2.7699999999999999E-2</v>
      </c>
      <c r="E522">
        <v>40.6</v>
      </c>
      <c r="F522" t="s">
        <v>14</v>
      </c>
      <c r="G522" t="s">
        <v>15</v>
      </c>
      <c r="H522" t="s">
        <v>16</v>
      </c>
      <c r="I522">
        <v>100</v>
      </c>
      <c r="J522" t="s">
        <v>53</v>
      </c>
      <c r="K522" t="s">
        <v>18</v>
      </c>
    </row>
    <row r="523" spans="1:11" x14ac:dyDescent="0.5">
      <c r="A523" t="s">
        <v>1091</v>
      </c>
      <c r="B523" t="s">
        <v>1051</v>
      </c>
      <c r="C523" t="s">
        <v>1092</v>
      </c>
      <c r="D523" s="1">
        <v>1.44E-2</v>
      </c>
      <c r="E523">
        <v>63.3</v>
      </c>
      <c r="F523" t="s">
        <v>14</v>
      </c>
      <c r="G523" t="s">
        <v>15</v>
      </c>
      <c r="H523" t="s">
        <v>16</v>
      </c>
      <c r="I523">
        <v>100</v>
      </c>
      <c r="J523" t="s">
        <v>53</v>
      </c>
      <c r="K523" t="s">
        <v>18</v>
      </c>
    </row>
    <row r="524" spans="1:11" x14ac:dyDescent="0.5">
      <c r="A524" t="s">
        <v>1093</v>
      </c>
      <c r="B524" t="s">
        <v>1051</v>
      </c>
      <c r="C524" t="s">
        <v>1094</v>
      </c>
      <c r="D524" s="1">
        <v>3.2599999999999997E-2</v>
      </c>
      <c r="E524">
        <v>40.4</v>
      </c>
      <c r="F524" t="s">
        <v>14</v>
      </c>
      <c r="G524" t="s">
        <v>15</v>
      </c>
      <c r="H524" t="s">
        <v>16</v>
      </c>
      <c r="I524">
        <v>100</v>
      </c>
      <c r="J524" t="s">
        <v>53</v>
      </c>
      <c r="K524" t="s">
        <v>18</v>
      </c>
    </row>
    <row r="525" spans="1:11" x14ac:dyDescent="0.5">
      <c r="A525" t="s">
        <v>1095</v>
      </c>
      <c r="B525" t="s">
        <v>1051</v>
      </c>
      <c r="C525" t="s">
        <v>1096</v>
      </c>
      <c r="D525" s="1">
        <v>4.2599999999999999E-2</v>
      </c>
      <c r="E525">
        <v>40.299999999999997</v>
      </c>
      <c r="F525" t="s">
        <v>14</v>
      </c>
      <c r="G525" t="s">
        <v>15</v>
      </c>
      <c r="H525" t="s">
        <v>16</v>
      </c>
      <c r="I525">
        <v>100</v>
      </c>
      <c r="J525" t="s">
        <v>53</v>
      </c>
      <c r="K525" t="s">
        <v>18</v>
      </c>
    </row>
    <row r="526" spans="1:11" x14ac:dyDescent="0.5">
      <c r="A526" t="s">
        <v>1097</v>
      </c>
      <c r="B526" t="s">
        <v>1051</v>
      </c>
      <c r="C526" t="s">
        <v>1098</v>
      </c>
      <c r="D526" s="1">
        <v>4.1000000000000002E-2</v>
      </c>
      <c r="E526">
        <v>40.200000000000003</v>
      </c>
      <c r="F526" t="s">
        <v>14</v>
      </c>
      <c r="G526" t="s">
        <v>15</v>
      </c>
      <c r="H526" t="s">
        <v>16</v>
      </c>
      <c r="I526">
        <v>100</v>
      </c>
      <c r="J526" t="s">
        <v>53</v>
      </c>
      <c r="K526" t="s">
        <v>18</v>
      </c>
    </row>
    <row r="527" spans="1:11" x14ac:dyDescent="0.5">
      <c r="A527" t="s">
        <v>1099</v>
      </c>
      <c r="B527" t="s">
        <v>1051</v>
      </c>
      <c r="C527" t="s">
        <v>1100</v>
      </c>
      <c r="D527" s="1">
        <v>2.63E-2</v>
      </c>
      <c r="E527">
        <v>39.9</v>
      </c>
      <c r="F527" t="s">
        <v>14</v>
      </c>
      <c r="G527" t="s">
        <v>15</v>
      </c>
      <c r="H527" t="s">
        <v>16</v>
      </c>
      <c r="I527">
        <v>100</v>
      </c>
      <c r="J527" t="s">
        <v>53</v>
      </c>
      <c r="K527" t="s">
        <v>18</v>
      </c>
    </row>
    <row r="528" spans="1:11" x14ac:dyDescent="0.5">
      <c r="A528" t="s">
        <v>1101</v>
      </c>
      <c r="B528" t="s">
        <v>1051</v>
      </c>
      <c r="C528" t="s">
        <v>1102</v>
      </c>
      <c r="D528" s="1">
        <v>2.1700000000000001E-2</v>
      </c>
      <c r="E528">
        <v>39.6</v>
      </c>
      <c r="F528" t="s">
        <v>14</v>
      </c>
      <c r="G528" t="s">
        <v>15</v>
      </c>
      <c r="H528" t="s">
        <v>16</v>
      </c>
      <c r="I528">
        <v>100</v>
      </c>
      <c r="J528" t="s">
        <v>53</v>
      </c>
      <c r="K528" t="s">
        <v>18</v>
      </c>
    </row>
    <row r="529" spans="1:11" x14ac:dyDescent="0.5">
      <c r="A529" t="s">
        <v>1103</v>
      </c>
      <c r="B529" t="s">
        <v>1051</v>
      </c>
      <c r="C529" t="s">
        <v>1104</v>
      </c>
      <c r="D529" s="1">
        <v>2.12E-2</v>
      </c>
      <c r="E529">
        <v>37.5</v>
      </c>
      <c r="F529" t="s">
        <v>14</v>
      </c>
      <c r="G529" t="s">
        <v>15</v>
      </c>
      <c r="H529" t="s">
        <v>16</v>
      </c>
      <c r="I529">
        <v>100</v>
      </c>
      <c r="J529" t="s">
        <v>53</v>
      </c>
      <c r="K529" t="s">
        <v>18</v>
      </c>
    </row>
    <row r="530" spans="1:11" x14ac:dyDescent="0.5">
      <c r="A530" t="s">
        <v>1105</v>
      </c>
      <c r="B530" t="s">
        <v>1051</v>
      </c>
      <c r="C530" t="s">
        <v>1106</v>
      </c>
      <c r="D530" s="1">
        <v>2.24E-2</v>
      </c>
      <c r="E530">
        <v>40.799999999999997</v>
      </c>
      <c r="F530" t="s">
        <v>14</v>
      </c>
      <c r="G530" t="s">
        <v>15</v>
      </c>
      <c r="H530" t="s">
        <v>16</v>
      </c>
      <c r="I530">
        <v>91.61</v>
      </c>
      <c r="J530" t="s">
        <v>53</v>
      </c>
      <c r="K530" t="s">
        <v>18</v>
      </c>
    </row>
    <row r="531" spans="1:11" x14ac:dyDescent="0.5">
      <c r="A531" t="s">
        <v>1107</v>
      </c>
      <c r="B531" t="s">
        <v>1051</v>
      </c>
      <c r="C531" t="s">
        <v>1108</v>
      </c>
      <c r="D531" s="1">
        <v>2.5100000000000001E-2</v>
      </c>
      <c r="E531">
        <v>34.6</v>
      </c>
      <c r="F531" t="s">
        <v>14</v>
      </c>
      <c r="G531" t="s">
        <v>15</v>
      </c>
      <c r="H531" t="s">
        <v>16</v>
      </c>
      <c r="I531">
        <v>100</v>
      </c>
      <c r="J531" t="s">
        <v>53</v>
      </c>
      <c r="K531" t="s">
        <v>18</v>
      </c>
    </row>
    <row r="532" spans="1:11" x14ac:dyDescent="0.5">
      <c r="A532" t="s">
        <v>1109</v>
      </c>
      <c r="B532" t="s">
        <v>1051</v>
      </c>
      <c r="C532" t="s">
        <v>1110</v>
      </c>
      <c r="D532" s="1">
        <v>2.41E-2</v>
      </c>
      <c r="E532">
        <v>33.9</v>
      </c>
      <c r="F532" t="s">
        <v>14</v>
      </c>
      <c r="G532" t="s">
        <v>15</v>
      </c>
      <c r="H532" t="s">
        <v>16</v>
      </c>
      <c r="I532">
        <v>100</v>
      </c>
      <c r="J532" t="s">
        <v>53</v>
      </c>
      <c r="K532" t="s">
        <v>18</v>
      </c>
    </row>
    <row r="533" spans="1:11" x14ac:dyDescent="0.5">
      <c r="A533" t="s">
        <v>1111</v>
      </c>
      <c r="B533" t="s">
        <v>1051</v>
      </c>
      <c r="C533" t="s">
        <v>1112</v>
      </c>
      <c r="D533" s="1">
        <v>1.9599999999999999E-2</v>
      </c>
      <c r="E533">
        <v>55.7</v>
      </c>
      <c r="F533" t="s">
        <v>14</v>
      </c>
      <c r="G533" t="s">
        <v>15</v>
      </c>
      <c r="H533" t="s">
        <v>16</v>
      </c>
      <c r="I533">
        <v>100</v>
      </c>
      <c r="J533" t="s">
        <v>53</v>
      </c>
      <c r="K533" t="s">
        <v>18</v>
      </c>
    </row>
    <row r="534" spans="1:11" x14ac:dyDescent="0.5">
      <c r="A534" t="s">
        <v>1113</v>
      </c>
      <c r="B534" t="s">
        <v>1051</v>
      </c>
      <c r="C534" t="s">
        <v>1114</v>
      </c>
      <c r="D534" s="1">
        <v>8.8800000000000004E-2</v>
      </c>
      <c r="E534">
        <v>30.7</v>
      </c>
      <c r="F534" t="s">
        <v>14</v>
      </c>
      <c r="G534" t="s">
        <v>15</v>
      </c>
      <c r="H534" t="s">
        <v>16</v>
      </c>
      <c r="I534">
        <v>100</v>
      </c>
      <c r="J534" t="s">
        <v>53</v>
      </c>
      <c r="K534" t="s">
        <v>18</v>
      </c>
    </row>
    <row r="535" spans="1:11" x14ac:dyDescent="0.5">
      <c r="A535" t="s">
        <v>1115</v>
      </c>
      <c r="B535" t="s">
        <v>1051</v>
      </c>
      <c r="C535" t="s">
        <v>1116</v>
      </c>
      <c r="D535" s="1">
        <v>1.9199999999999998E-2</v>
      </c>
      <c r="E535">
        <v>53</v>
      </c>
      <c r="F535" t="s">
        <v>14</v>
      </c>
      <c r="G535" t="s">
        <v>15</v>
      </c>
      <c r="H535" t="s">
        <v>16</v>
      </c>
      <c r="I535">
        <v>100</v>
      </c>
      <c r="J535" t="s">
        <v>53</v>
      </c>
      <c r="K535" t="s">
        <v>18</v>
      </c>
    </row>
    <row r="536" spans="1:11" x14ac:dyDescent="0.5">
      <c r="A536" t="s">
        <v>1117</v>
      </c>
      <c r="B536" t="s">
        <v>1051</v>
      </c>
      <c r="C536" t="s">
        <v>1118</v>
      </c>
      <c r="D536" s="1">
        <v>3.5099999999999999E-2</v>
      </c>
      <c r="E536">
        <v>30.1</v>
      </c>
      <c r="F536" t="s">
        <v>14</v>
      </c>
      <c r="G536" t="s">
        <v>15</v>
      </c>
      <c r="H536" t="s">
        <v>16</v>
      </c>
      <c r="I536">
        <v>100</v>
      </c>
      <c r="J536" t="s">
        <v>53</v>
      </c>
      <c r="K536" t="s">
        <v>18</v>
      </c>
    </row>
    <row r="537" spans="1:11" x14ac:dyDescent="0.5">
      <c r="A537" t="s">
        <v>1119</v>
      </c>
      <c r="B537" t="s">
        <v>1051</v>
      </c>
      <c r="C537" t="s">
        <v>1120</v>
      </c>
      <c r="D537" s="1">
        <v>2.29E-2</v>
      </c>
      <c r="E537">
        <v>34.200000000000003</v>
      </c>
      <c r="F537" t="s">
        <v>14</v>
      </c>
      <c r="G537" t="s">
        <v>15</v>
      </c>
      <c r="H537" t="s">
        <v>16</v>
      </c>
      <c r="I537">
        <v>93.95</v>
      </c>
      <c r="J537" t="s">
        <v>53</v>
      </c>
      <c r="K537" t="s">
        <v>18</v>
      </c>
    </row>
    <row r="538" spans="1:11" x14ac:dyDescent="0.5">
      <c r="A538" t="s">
        <v>1121</v>
      </c>
      <c r="B538" t="s">
        <v>1051</v>
      </c>
      <c r="C538" t="s">
        <v>1122</v>
      </c>
      <c r="D538" s="1">
        <v>2.41E-2</v>
      </c>
      <c r="E538">
        <v>29.7</v>
      </c>
      <c r="F538" t="s">
        <v>14</v>
      </c>
      <c r="G538" t="s">
        <v>15</v>
      </c>
      <c r="H538" t="s">
        <v>16</v>
      </c>
      <c r="I538">
        <v>100</v>
      </c>
      <c r="J538" t="s">
        <v>53</v>
      </c>
      <c r="K538" t="s">
        <v>18</v>
      </c>
    </row>
    <row r="539" spans="1:11" x14ac:dyDescent="0.5">
      <c r="A539" t="s">
        <v>1123</v>
      </c>
      <c r="B539" t="s">
        <v>1051</v>
      </c>
      <c r="C539" t="s">
        <v>1124</v>
      </c>
      <c r="D539" s="1">
        <v>2.6599999999999999E-2</v>
      </c>
      <c r="E539">
        <v>29.6</v>
      </c>
      <c r="F539" t="s">
        <v>14</v>
      </c>
      <c r="G539" t="s">
        <v>15</v>
      </c>
      <c r="H539" t="s">
        <v>16</v>
      </c>
      <c r="I539">
        <v>100</v>
      </c>
      <c r="J539" t="s">
        <v>53</v>
      </c>
      <c r="K539" t="s">
        <v>18</v>
      </c>
    </row>
    <row r="540" spans="1:11" x14ac:dyDescent="0.5">
      <c r="A540" t="s">
        <v>1125</v>
      </c>
      <c r="B540" t="s">
        <v>1051</v>
      </c>
      <c r="C540" t="s">
        <v>1126</v>
      </c>
      <c r="D540" s="1">
        <v>1.9800000000000002E-2</v>
      </c>
      <c r="E540">
        <v>51.8</v>
      </c>
      <c r="F540" t="s">
        <v>14</v>
      </c>
      <c r="G540" t="s">
        <v>15</v>
      </c>
      <c r="H540" t="s">
        <v>16</v>
      </c>
      <c r="I540">
        <v>100</v>
      </c>
      <c r="J540" t="s">
        <v>53</v>
      </c>
      <c r="K540" t="s">
        <v>18</v>
      </c>
    </row>
    <row r="541" spans="1:11" x14ac:dyDescent="0.5">
      <c r="A541" t="s">
        <v>1127</v>
      </c>
      <c r="B541" t="s">
        <v>1051</v>
      </c>
      <c r="C541" t="s">
        <v>1128</v>
      </c>
      <c r="D541" s="1">
        <v>4.8999999999999998E-3</v>
      </c>
      <c r="E541">
        <v>50.8</v>
      </c>
      <c r="F541" t="s">
        <v>14</v>
      </c>
      <c r="G541" t="s">
        <v>15</v>
      </c>
      <c r="H541" t="s">
        <v>16</v>
      </c>
      <c r="I541">
        <v>100</v>
      </c>
      <c r="J541" t="s">
        <v>53</v>
      </c>
      <c r="K541" t="s">
        <v>18</v>
      </c>
    </row>
    <row r="542" spans="1:11" x14ac:dyDescent="0.5">
      <c r="A542" t="s">
        <v>1129</v>
      </c>
      <c r="B542" t="s">
        <v>1051</v>
      </c>
      <c r="C542" t="s">
        <v>1130</v>
      </c>
      <c r="D542" s="1">
        <v>1.34E-2</v>
      </c>
      <c r="E542">
        <v>50.7</v>
      </c>
      <c r="F542" t="s">
        <v>14</v>
      </c>
      <c r="G542" t="s">
        <v>15</v>
      </c>
      <c r="H542" t="s">
        <v>16</v>
      </c>
      <c r="I542">
        <v>100</v>
      </c>
      <c r="J542" t="s">
        <v>53</v>
      </c>
      <c r="K542" t="s">
        <v>18</v>
      </c>
    </row>
    <row r="543" spans="1:11" x14ac:dyDescent="0.5">
      <c r="A543" t="s">
        <v>1131</v>
      </c>
      <c r="B543" t="s">
        <v>1051</v>
      </c>
      <c r="C543" t="s">
        <v>1132</v>
      </c>
      <c r="D543" s="1">
        <v>1.3599999999999999E-2</v>
      </c>
      <c r="E543">
        <v>49.7</v>
      </c>
      <c r="F543" t="s">
        <v>14</v>
      </c>
      <c r="G543" t="s">
        <v>15</v>
      </c>
      <c r="H543" t="s">
        <v>16</v>
      </c>
      <c r="I543">
        <v>100</v>
      </c>
      <c r="J543" t="s">
        <v>53</v>
      </c>
      <c r="K543" t="s">
        <v>18</v>
      </c>
    </row>
    <row r="544" spans="1:11" x14ac:dyDescent="0.5">
      <c r="A544" t="s">
        <v>1133</v>
      </c>
      <c r="B544" t="s">
        <v>1051</v>
      </c>
      <c r="C544" t="s">
        <v>1134</v>
      </c>
      <c r="D544" s="1">
        <v>6.8999999999999999E-3</v>
      </c>
      <c r="E544">
        <v>50</v>
      </c>
      <c r="F544" t="s">
        <v>14</v>
      </c>
      <c r="G544" t="s">
        <v>15</v>
      </c>
      <c r="H544" t="s">
        <v>16</v>
      </c>
      <c r="I544">
        <v>99.47</v>
      </c>
      <c r="J544" t="s">
        <v>53</v>
      </c>
      <c r="K544" t="s">
        <v>18</v>
      </c>
    </row>
    <row r="545" spans="1:11" x14ac:dyDescent="0.5">
      <c r="A545" t="s">
        <v>1135</v>
      </c>
      <c r="B545" t="s">
        <v>1051</v>
      </c>
      <c r="C545" t="s">
        <v>1136</v>
      </c>
      <c r="D545" s="1">
        <v>1.41E-2</v>
      </c>
      <c r="E545">
        <v>49.3</v>
      </c>
      <c r="F545" t="s">
        <v>14</v>
      </c>
      <c r="G545" t="s">
        <v>15</v>
      </c>
      <c r="H545" t="s">
        <v>16</v>
      </c>
      <c r="I545">
        <v>100</v>
      </c>
      <c r="J545" t="s">
        <v>53</v>
      </c>
      <c r="K545" t="s">
        <v>18</v>
      </c>
    </row>
    <row r="546" spans="1:11" x14ac:dyDescent="0.5">
      <c r="A546" t="s">
        <v>1137</v>
      </c>
      <c r="B546" t="s">
        <v>1051</v>
      </c>
      <c r="C546" t="s">
        <v>1138</v>
      </c>
      <c r="D546" s="1">
        <v>1.7500000000000002E-2</v>
      </c>
      <c r="E546">
        <v>48.7</v>
      </c>
      <c r="F546" t="s">
        <v>14</v>
      </c>
      <c r="G546" t="s">
        <v>15</v>
      </c>
      <c r="H546" t="s">
        <v>16</v>
      </c>
      <c r="I546">
        <v>100</v>
      </c>
      <c r="J546" t="s">
        <v>53</v>
      </c>
      <c r="K546" t="s">
        <v>18</v>
      </c>
    </row>
    <row r="547" spans="1:11" x14ac:dyDescent="0.5">
      <c r="A547" t="s">
        <v>1139</v>
      </c>
      <c r="B547" t="s">
        <v>1051</v>
      </c>
      <c r="C547" t="s">
        <v>1140</v>
      </c>
      <c r="D547" s="1">
        <v>1.44E-2</v>
      </c>
      <c r="E547">
        <v>47.9</v>
      </c>
      <c r="F547" t="s">
        <v>14</v>
      </c>
      <c r="G547" t="s">
        <v>15</v>
      </c>
      <c r="H547" t="s">
        <v>16</v>
      </c>
      <c r="I547">
        <v>100</v>
      </c>
      <c r="J547" t="s">
        <v>53</v>
      </c>
      <c r="K547" t="s">
        <v>18</v>
      </c>
    </row>
    <row r="548" spans="1:11" x14ac:dyDescent="0.5">
      <c r="A548" t="s">
        <v>1141</v>
      </c>
      <c r="B548" t="s">
        <v>1051</v>
      </c>
      <c r="C548" t="s">
        <v>1142</v>
      </c>
      <c r="D548" s="1">
        <v>1.4200000000000001E-2</v>
      </c>
      <c r="E548">
        <v>47.9</v>
      </c>
      <c r="F548" t="s">
        <v>14</v>
      </c>
      <c r="G548" t="s">
        <v>15</v>
      </c>
      <c r="H548" t="s">
        <v>16</v>
      </c>
      <c r="I548">
        <v>100</v>
      </c>
      <c r="J548" t="s">
        <v>53</v>
      </c>
      <c r="K548" t="s">
        <v>18</v>
      </c>
    </row>
    <row r="549" spans="1:11" x14ac:dyDescent="0.5">
      <c r="A549" t="s">
        <v>1143</v>
      </c>
      <c r="B549" t="s">
        <v>1051</v>
      </c>
      <c r="C549" t="s">
        <v>1144</v>
      </c>
      <c r="D549" s="1">
        <v>1.2200000000000001E-2</v>
      </c>
      <c r="E549">
        <v>47.6</v>
      </c>
      <c r="F549" t="s">
        <v>14</v>
      </c>
      <c r="G549" t="s">
        <v>15</v>
      </c>
      <c r="H549" t="s">
        <v>16</v>
      </c>
      <c r="I549">
        <v>100</v>
      </c>
      <c r="J549" t="s">
        <v>53</v>
      </c>
      <c r="K549" t="s">
        <v>18</v>
      </c>
    </row>
    <row r="550" spans="1:11" x14ac:dyDescent="0.5">
      <c r="A550" t="s">
        <v>1145</v>
      </c>
      <c r="B550" t="s">
        <v>1051</v>
      </c>
      <c r="C550" t="s">
        <v>1146</v>
      </c>
      <c r="D550" s="1">
        <v>2.0400000000000001E-2</v>
      </c>
      <c r="E550">
        <v>34.4</v>
      </c>
      <c r="F550" t="s">
        <v>14</v>
      </c>
      <c r="G550" t="s">
        <v>16</v>
      </c>
      <c r="H550" t="s">
        <v>16</v>
      </c>
      <c r="I550">
        <v>85.43</v>
      </c>
      <c r="J550" t="s">
        <v>53</v>
      </c>
      <c r="K550" t="s">
        <v>18</v>
      </c>
    </row>
    <row r="551" spans="1:11" x14ac:dyDescent="0.5">
      <c r="A551" t="s">
        <v>1147</v>
      </c>
      <c r="B551" t="s">
        <v>1051</v>
      </c>
      <c r="C551" t="s">
        <v>1148</v>
      </c>
      <c r="D551" s="1">
        <v>7.3899999999999993E-2</v>
      </c>
      <c r="E551">
        <v>23.1</v>
      </c>
      <c r="F551" t="s">
        <v>14</v>
      </c>
      <c r="G551" t="s">
        <v>15</v>
      </c>
      <c r="H551" t="s">
        <v>16</v>
      </c>
      <c r="I551">
        <v>100</v>
      </c>
      <c r="J551" t="s">
        <v>53</v>
      </c>
      <c r="K551" t="s">
        <v>18</v>
      </c>
    </row>
    <row r="552" spans="1:11" x14ac:dyDescent="0.5">
      <c r="A552" t="s">
        <v>1149</v>
      </c>
      <c r="B552" t="s">
        <v>1051</v>
      </c>
      <c r="C552" t="s">
        <v>1150</v>
      </c>
      <c r="D552" s="1">
        <v>1.2999999999999999E-2</v>
      </c>
      <c r="E552">
        <v>45.6</v>
      </c>
      <c r="F552" t="s">
        <v>14</v>
      </c>
      <c r="G552" t="s">
        <v>15</v>
      </c>
      <c r="H552" t="s">
        <v>16</v>
      </c>
      <c r="I552">
        <v>100</v>
      </c>
      <c r="J552" t="s">
        <v>53</v>
      </c>
      <c r="K552" t="s">
        <v>18</v>
      </c>
    </row>
    <row r="553" spans="1:11" x14ac:dyDescent="0.5">
      <c r="A553" t="s">
        <v>1151</v>
      </c>
      <c r="B553" t="s">
        <v>1051</v>
      </c>
      <c r="C553" t="s">
        <v>1152</v>
      </c>
      <c r="D553" s="1">
        <v>1.09E-2</v>
      </c>
      <c r="E553">
        <v>46.8</v>
      </c>
      <c r="F553" t="s">
        <v>14</v>
      </c>
      <c r="G553" t="s">
        <v>15</v>
      </c>
      <c r="H553" t="s">
        <v>16</v>
      </c>
      <c r="I553">
        <v>97.36</v>
      </c>
      <c r="J553" t="s">
        <v>53</v>
      </c>
      <c r="K553" t="s">
        <v>18</v>
      </c>
    </row>
    <row r="554" spans="1:11" x14ac:dyDescent="0.5">
      <c r="A554" t="s">
        <v>1153</v>
      </c>
      <c r="B554" t="s">
        <v>1051</v>
      </c>
      <c r="C554" t="s">
        <v>1154</v>
      </c>
      <c r="D554" s="1">
        <v>1.6000000000000001E-3</v>
      </c>
      <c r="E554">
        <v>58.1</v>
      </c>
      <c r="F554" t="s">
        <v>14</v>
      </c>
      <c r="G554" t="s">
        <v>15</v>
      </c>
      <c r="H554" t="s">
        <v>16</v>
      </c>
      <c r="I554">
        <v>79.83</v>
      </c>
      <c r="J554" t="s">
        <v>53</v>
      </c>
      <c r="K554" t="s">
        <v>18</v>
      </c>
    </row>
    <row r="555" spans="1:11" x14ac:dyDescent="0.5">
      <c r="A555" t="s">
        <v>1155</v>
      </c>
      <c r="B555" t="s">
        <v>1051</v>
      </c>
      <c r="C555" t="s">
        <v>1156</v>
      </c>
      <c r="D555" s="1">
        <v>1.2500000000000001E-2</v>
      </c>
      <c r="E555">
        <v>43.8</v>
      </c>
      <c r="F555" t="s">
        <v>14</v>
      </c>
      <c r="G555" t="s">
        <v>15</v>
      </c>
      <c r="H555" t="s">
        <v>16</v>
      </c>
      <c r="I555">
        <v>98.81</v>
      </c>
      <c r="J555" t="s">
        <v>53</v>
      </c>
      <c r="K555" t="s">
        <v>18</v>
      </c>
    </row>
    <row r="556" spans="1:11" x14ac:dyDescent="0.5">
      <c r="A556" t="s">
        <v>1157</v>
      </c>
      <c r="B556" t="s">
        <v>1051</v>
      </c>
      <c r="C556" t="s">
        <v>1158</v>
      </c>
      <c r="D556" s="1">
        <v>1.8700000000000001E-2</v>
      </c>
      <c r="E556">
        <v>45.7</v>
      </c>
      <c r="F556" t="s">
        <v>14</v>
      </c>
      <c r="G556" t="s">
        <v>15</v>
      </c>
      <c r="H556" t="s">
        <v>16</v>
      </c>
      <c r="I556">
        <v>96.12</v>
      </c>
      <c r="J556" t="s">
        <v>53</v>
      </c>
      <c r="K556" t="s">
        <v>18</v>
      </c>
    </row>
    <row r="557" spans="1:11" x14ac:dyDescent="0.5">
      <c r="A557" t="s">
        <v>1159</v>
      </c>
      <c r="B557" t="s">
        <v>1051</v>
      </c>
      <c r="C557" t="s">
        <v>1160</v>
      </c>
      <c r="D557" s="1">
        <v>1.0999999999999999E-2</v>
      </c>
      <c r="E557">
        <v>49.6</v>
      </c>
      <c r="F557" t="s">
        <v>14</v>
      </c>
      <c r="G557" t="s">
        <v>15</v>
      </c>
      <c r="H557" t="s">
        <v>16</v>
      </c>
      <c r="I557">
        <v>90.34</v>
      </c>
      <c r="J557" t="s">
        <v>53</v>
      </c>
      <c r="K557" t="s">
        <v>18</v>
      </c>
    </row>
    <row r="558" spans="1:11" x14ac:dyDescent="0.5">
      <c r="A558" t="s">
        <v>1161</v>
      </c>
      <c r="B558" t="s">
        <v>1051</v>
      </c>
      <c r="C558" t="s">
        <v>1162</v>
      </c>
      <c r="D558" s="1">
        <v>1.55E-2</v>
      </c>
      <c r="E558">
        <v>42.6</v>
      </c>
      <c r="F558" t="s">
        <v>14</v>
      </c>
      <c r="G558" t="s">
        <v>15</v>
      </c>
      <c r="H558" t="s">
        <v>16</v>
      </c>
      <c r="I558">
        <v>100</v>
      </c>
      <c r="J558" t="s">
        <v>53</v>
      </c>
      <c r="K558" t="s">
        <v>18</v>
      </c>
    </row>
    <row r="559" spans="1:11" x14ac:dyDescent="0.5">
      <c r="A559" t="s">
        <v>1163</v>
      </c>
      <c r="B559" t="s">
        <v>1051</v>
      </c>
      <c r="C559" t="s">
        <v>1164</v>
      </c>
      <c r="D559" s="1">
        <v>1.3899999999999999E-2</v>
      </c>
      <c r="E559">
        <v>41.7</v>
      </c>
      <c r="F559" t="s">
        <v>14</v>
      </c>
      <c r="G559" t="s">
        <v>15</v>
      </c>
      <c r="H559" t="s">
        <v>16</v>
      </c>
      <c r="I559">
        <v>100</v>
      </c>
      <c r="J559" t="s">
        <v>53</v>
      </c>
      <c r="K559" t="s">
        <v>18</v>
      </c>
    </row>
    <row r="560" spans="1:11" x14ac:dyDescent="0.5">
      <c r="A560" t="s">
        <v>1165</v>
      </c>
      <c r="B560" t="s">
        <v>1051</v>
      </c>
      <c r="C560" t="s">
        <v>1166</v>
      </c>
      <c r="D560" s="1">
        <v>1.8499999999999999E-2</v>
      </c>
      <c r="E560">
        <v>50.9</v>
      </c>
      <c r="F560" t="s">
        <v>14</v>
      </c>
      <c r="G560" t="s">
        <v>15</v>
      </c>
      <c r="H560" t="s">
        <v>16</v>
      </c>
      <c r="I560">
        <v>86.14</v>
      </c>
      <c r="J560" t="s">
        <v>53</v>
      </c>
      <c r="K560" t="s">
        <v>18</v>
      </c>
    </row>
    <row r="561" spans="1:11" x14ac:dyDescent="0.5">
      <c r="A561" t="s">
        <v>1167</v>
      </c>
      <c r="B561" t="s">
        <v>1051</v>
      </c>
      <c r="C561" t="s">
        <v>1168</v>
      </c>
      <c r="D561" s="1">
        <v>9.7999999999999997E-3</v>
      </c>
      <c r="E561">
        <v>40.799999999999997</v>
      </c>
      <c r="F561" t="s">
        <v>14</v>
      </c>
      <c r="G561" t="s">
        <v>15</v>
      </c>
      <c r="H561" t="s">
        <v>16</v>
      </c>
      <c r="I561">
        <v>100</v>
      </c>
      <c r="J561" t="s">
        <v>53</v>
      </c>
      <c r="K561" t="s">
        <v>18</v>
      </c>
    </row>
    <row r="562" spans="1:11" x14ac:dyDescent="0.5">
      <c r="A562" t="s">
        <v>1169</v>
      </c>
      <c r="B562" t="s">
        <v>1051</v>
      </c>
      <c r="C562" t="s">
        <v>1170</v>
      </c>
      <c r="D562" s="1">
        <v>4.4999999999999997E-3</v>
      </c>
      <c r="E562">
        <v>53.3</v>
      </c>
      <c r="F562" t="s">
        <v>14</v>
      </c>
      <c r="G562" t="s">
        <v>15</v>
      </c>
      <c r="H562" t="s">
        <v>16</v>
      </c>
      <c r="I562">
        <v>82.2</v>
      </c>
      <c r="J562" t="s">
        <v>53</v>
      </c>
      <c r="K562" t="s">
        <v>18</v>
      </c>
    </row>
    <row r="563" spans="1:11" x14ac:dyDescent="0.5">
      <c r="A563" t="s">
        <v>1171</v>
      </c>
      <c r="B563" t="s">
        <v>1051</v>
      </c>
      <c r="C563" t="s">
        <v>1172</v>
      </c>
      <c r="D563" s="1">
        <v>1.77E-2</v>
      </c>
      <c r="E563">
        <v>40.200000000000003</v>
      </c>
      <c r="F563" t="s">
        <v>14</v>
      </c>
      <c r="G563" t="s">
        <v>15</v>
      </c>
      <c r="H563" t="s">
        <v>16</v>
      </c>
      <c r="I563">
        <v>100</v>
      </c>
      <c r="J563" t="s">
        <v>53</v>
      </c>
      <c r="K563" t="s">
        <v>18</v>
      </c>
    </row>
    <row r="564" spans="1:11" x14ac:dyDescent="0.5">
      <c r="A564" t="s">
        <v>1173</v>
      </c>
      <c r="B564" t="s">
        <v>1051</v>
      </c>
      <c r="C564" t="s">
        <v>1174</v>
      </c>
      <c r="D564" s="1">
        <v>1.52E-2</v>
      </c>
      <c r="E564">
        <v>40</v>
      </c>
      <c r="F564" t="s">
        <v>14</v>
      </c>
      <c r="G564" t="s">
        <v>15</v>
      </c>
      <c r="H564" t="s">
        <v>16</v>
      </c>
      <c r="I564">
        <v>100</v>
      </c>
      <c r="J564" t="s">
        <v>53</v>
      </c>
      <c r="K564" t="s">
        <v>18</v>
      </c>
    </row>
    <row r="565" spans="1:11" x14ac:dyDescent="0.5">
      <c r="A565" t="s">
        <v>1175</v>
      </c>
      <c r="B565" t="s">
        <v>1051</v>
      </c>
      <c r="C565" t="s">
        <v>1176</v>
      </c>
      <c r="D565" s="1">
        <v>8.1100000000000005E-2</v>
      </c>
      <c r="E565">
        <v>51</v>
      </c>
      <c r="F565" t="s">
        <v>14</v>
      </c>
      <c r="G565" t="s">
        <v>16</v>
      </c>
      <c r="H565" t="s">
        <v>16</v>
      </c>
      <c r="I565">
        <v>52.33</v>
      </c>
      <c r="J565" t="s">
        <v>53</v>
      </c>
      <c r="K565" t="s">
        <v>18</v>
      </c>
    </row>
    <row r="566" spans="1:11" x14ac:dyDescent="0.5">
      <c r="A566" t="s">
        <v>1177</v>
      </c>
      <c r="B566" t="s">
        <v>1051</v>
      </c>
      <c r="C566" t="s">
        <v>1178</v>
      </c>
      <c r="D566" s="1">
        <v>1.2200000000000001E-2</v>
      </c>
      <c r="E566">
        <v>39.700000000000003</v>
      </c>
      <c r="F566" t="s">
        <v>14</v>
      </c>
      <c r="G566" t="s">
        <v>15</v>
      </c>
      <c r="H566" t="s">
        <v>16</v>
      </c>
      <c r="I566">
        <v>100</v>
      </c>
      <c r="J566" t="s">
        <v>53</v>
      </c>
      <c r="K566" t="s">
        <v>18</v>
      </c>
    </row>
    <row r="567" spans="1:11" x14ac:dyDescent="0.5">
      <c r="A567" t="s">
        <v>1179</v>
      </c>
      <c r="B567" t="s">
        <v>1051</v>
      </c>
      <c r="C567" t="s">
        <v>1180</v>
      </c>
      <c r="D567" s="1">
        <v>1.32E-2</v>
      </c>
      <c r="E567">
        <v>39.5</v>
      </c>
      <c r="F567" t="s">
        <v>14</v>
      </c>
      <c r="G567" t="s">
        <v>15</v>
      </c>
      <c r="H567" t="s">
        <v>16</v>
      </c>
      <c r="I567">
        <v>100</v>
      </c>
      <c r="J567" t="s">
        <v>53</v>
      </c>
      <c r="K567" t="s">
        <v>18</v>
      </c>
    </row>
    <row r="568" spans="1:11" x14ac:dyDescent="0.5">
      <c r="A568" t="s">
        <v>1181</v>
      </c>
      <c r="B568" t="s">
        <v>1051</v>
      </c>
      <c r="C568" t="s">
        <v>1182</v>
      </c>
      <c r="D568" s="1">
        <v>1.2999999999999999E-2</v>
      </c>
      <c r="E568">
        <v>39.299999999999997</v>
      </c>
      <c r="F568" t="s">
        <v>14</v>
      </c>
      <c r="G568" t="s">
        <v>15</v>
      </c>
      <c r="H568" t="s">
        <v>16</v>
      </c>
      <c r="I568">
        <v>100</v>
      </c>
      <c r="J568" t="s">
        <v>53</v>
      </c>
      <c r="K568" t="s">
        <v>18</v>
      </c>
    </row>
    <row r="569" spans="1:11" x14ac:dyDescent="0.5">
      <c r="A569" t="s">
        <v>1183</v>
      </c>
      <c r="B569" t="s">
        <v>1051</v>
      </c>
      <c r="C569" t="s">
        <v>1184</v>
      </c>
      <c r="D569" s="1">
        <v>9.4999999999999998E-3</v>
      </c>
      <c r="E569">
        <v>39.299999999999997</v>
      </c>
      <c r="F569" t="s">
        <v>14</v>
      </c>
      <c r="G569" t="s">
        <v>15</v>
      </c>
      <c r="H569" t="s">
        <v>16</v>
      </c>
      <c r="I569">
        <v>100</v>
      </c>
      <c r="J569" t="s">
        <v>53</v>
      </c>
      <c r="K569" t="s">
        <v>18</v>
      </c>
    </row>
    <row r="570" spans="1:11" x14ac:dyDescent="0.5">
      <c r="A570" t="s">
        <v>1185</v>
      </c>
      <c r="B570" t="s">
        <v>1051</v>
      </c>
      <c r="C570" t="s">
        <v>1186</v>
      </c>
      <c r="D570" s="1">
        <v>1.15E-2</v>
      </c>
      <c r="E570">
        <v>43.1</v>
      </c>
      <c r="F570" t="s">
        <v>14</v>
      </c>
      <c r="G570" t="s">
        <v>15</v>
      </c>
      <c r="H570" t="s">
        <v>16</v>
      </c>
      <c r="I570">
        <v>94.43</v>
      </c>
      <c r="J570" t="s">
        <v>53</v>
      </c>
      <c r="K570" t="s">
        <v>18</v>
      </c>
    </row>
    <row r="571" spans="1:11" x14ac:dyDescent="0.5">
      <c r="A571" t="s">
        <v>1187</v>
      </c>
      <c r="B571" t="s">
        <v>1051</v>
      </c>
      <c r="C571" t="s">
        <v>1188</v>
      </c>
      <c r="D571" s="1">
        <v>1.67E-2</v>
      </c>
      <c r="E571">
        <v>38.9</v>
      </c>
      <c r="F571" t="s">
        <v>14</v>
      </c>
      <c r="G571" t="s">
        <v>15</v>
      </c>
      <c r="H571" t="s">
        <v>16</v>
      </c>
      <c r="I571">
        <v>100</v>
      </c>
      <c r="J571" t="s">
        <v>53</v>
      </c>
      <c r="K571" t="s">
        <v>18</v>
      </c>
    </row>
    <row r="572" spans="1:11" x14ac:dyDescent="0.5">
      <c r="A572" t="s">
        <v>1189</v>
      </c>
      <c r="B572" t="s">
        <v>1051</v>
      </c>
      <c r="C572" t="s">
        <v>1190</v>
      </c>
      <c r="D572" s="1">
        <v>2.58E-2</v>
      </c>
      <c r="E572">
        <v>32</v>
      </c>
      <c r="F572" t="s">
        <v>14</v>
      </c>
      <c r="G572" t="s">
        <v>16</v>
      </c>
      <c r="H572" t="s">
        <v>16</v>
      </c>
      <c r="I572">
        <v>76.81</v>
      </c>
      <c r="J572" t="s">
        <v>53</v>
      </c>
      <c r="K572" t="s">
        <v>18</v>
      </c>
    </row>
    <row r="573" spans="1:11" x14ac:dyDescent="0.5">
      <c r="A573" t="s">
        <v>1191</v>
      </c>
      <c r="B573" t="s">
        <v>1051</v>
      </c>
      <c r="C573" t="s">
        <v>1192</v>
      </c>
      <c r="D573" s="1">
        <v>1.8200000000000001E-2</v>
      </c>
      <c r="E573">
        <v>38</v>
      </c>
      <c r="F573" t="s">
        <v>14</v>
      </c>
      <c r="G573" t="s">
        <v>15</v>
      </c>
      <c r="H573" t="s">
        <v>16</v>
      </c>
      <c r="I573">
        <v>100</v>
      </c>
      <c r="J573" t="s">
        <v>53</v>
      </c>
      <c r="K573" t="s">
        <v>18</v>
      </c>
    </row>
    <row r="574" spans="1:11" x14ac:dyDescent="0.5">
      <c r="A574" t="s">
        <v>1193</v>
      </c>
      <c r="B574" t="s">
        <v>1051</v>
      </c>
      <c r="C574" t="s">
        <v>1194</v>
      </c>
      <c r="D574" s="1">
        <v>3.1199999999999999E-2</v>
      </c>
      <c r="E574">
        <v>29.4</v>
      </c>
      <c r="F574" t="s">
        <v>14</v>
      </c>
      <c r="G574" t="s">
        <v>15</v>
      </c>
      <c r="H574" t="s">
        <v>16</v>
      </c>
      <c r="I574">
        <v>79.680000000000007</v>
      </c>
      <c r="J574" t="s">
        <v>53</v>
      </c>
      <c r="K574" t="s">
        <v>18</v>
      </c>
    </row>
    <row r="575" spans="1:11" x14ac:dyDescent="0.5">
      <c r="A575" t="s">
        <v>1195</v>
      </c>
      <c r="B575" t="s">
        <v>1051</v>
      </c>
      <c r="C575" t="s">
        <v>1196</v>
      </c>
      <c r="D575" s="1">
        <v>1.4800000000000001E-2</v>
      </c>
      <c r="E575">
        <v>37.700000000000003</v>
      </c>
      <c r="F575" t="s">
        <v>14</v>
      </c>
      <c r="G575" t="s">
        <v>15</v>
      </c>
      <c r="H575" t="s">
        <v>16</v>
      </c>
      <c r="I575">
        <v>100</v>
      </c>
      <c r="J575" t="s">
        <v>53</v>
      </c>
      <c r="K575" t="s">
        <v>18</v>
      </c>
    </row>
    <row r="576" spans="1:11" x14ac:dyDescent="0.5">
      <c r="A576" t="s">
        <v>1197</v>
      </c>
      <c r="B576" t="s">
        <v>1051</v>
      </c>
      <c r="C576" t="s">
        <v>1198</v>
      </c>
      <c r="D576" s="1">
        <v>1.67E-2</v>
      </c>
      <c r="E576">
        <v>37.1</v>
      </c>
      <c r="F576" t="s">
        <v>14</v>
      </c>
      <c r="G576" t="s">
        <v>15</v>
      </c>
      <c r="H576" t="s">
        <v>16</v>
      </c>
      <c r="I576">
        <v>100</v>
      </c>
      <c r="J576" t="s">
        <v>53</v>
      </c>
      <c r="K576" t="s">
        <v>18</v>
      </c>
    </row>
    <row r="577" spans="1:11" x14ac:dyDescent="0.5">
      <c r="A577" t="s">
        <v>1199</v>
      </c>
      <c r="B577" t="s">
        <v>1051</v>
      </c>
      <c r="C577" t="s">
        <v>1200</v>
      </c>
      <c r="D577" s="1">
        <v>7.7000000000000002E-3</v>
      </c>
      <c r="E577">
        <v>36.6</v>
      </c>
      <c r="F577" t="s">
        <v>14</v>
      </c>
      <c r="G577" t="s">
        <v>15</v>
      </c>
      <c r="H577" t="s">
        <v>16</v>
      </c>
      <c r="I577">
        <v>100</v>
      </c>
      <c r="J577" t="s">
        <v>53</v>
      </c>
      <c r="K577" t="s">
        <v>18</v>
      </c>
    </row>
    <row r="578" spans="1:11" x14ac:dyDescent="0.5">
      <c r="A578" t="s">
        <v>1201</v>
      </c>
      <c r="B578" t="s">
        <v>1051</v>
      </c>
      <c r="C578" t="s">
        <v>1202</v>
      </c>
      <c r="D578" s="1">
        <v>1.83E-2</v>
      </c>
      <c r="E578">
        <v>46.8</v>
      </c>
      <c r="F578" t="s">
        <v>14</v>
      </c>
      <c r="G578" t="s">
        <v>15</v>
      </c>
      <c r="H578" t="s">
        <v>16</v>
      </c>
      <c r="I578">
        <v>85.65</v>
      </c>
      <c r="J578" t="s">
        <v>53</v>
      </c>
      <c r="K578" t="s">
        <v>18</v>
      </c>
    </row>
    <row r="579" spans="1:11" x14ac:dyDescent="0.5">
      <c r="A579" t="s">
        <v>1203</v>
      </c>
      <c r="B579" t="s">
        <v>1051</v>
      </c>
      <c r="C579" t="s">
        <v>1204</v>
      </c>
      <c r="D579" s="1">
        <v>1.32E-2</v>
      </c>
      <c r="E579">
        <v>36.4</v>
      </c>
      <c r="F579" t="s">
        <v>14</v>
      </c>
      <c r="G579" t="s">
        <v>15</v>
      </c>
      <c r="H579" t="s">
        <v>16</v>
      </c>
      <c r="I579">
        <v>100</v>
      </c>
      <c r="J579" t="s">
        <v>53</v>
      </c>
      <c r="K579" t="s">
        <v>18</v>
      </c>
    </row>
    <row r="580" spans="1:11" x14ac:dyDescent="0.5">
      <c r="A580" t="s">
        <v>1205</v>
      </c>
      <c r="B580" t="s">
        <v>1051</v>
      </c>
      <c r="C580" t="s">
        <v>1206</v>
      </c>
      <c r="D580" s="1">
        <v>9.1999999999999998E-3</v>
      </c>
      <c r="E580">
        <v>35.799999999999997</v>
      </c>
      <c r="F580" t="s">
        <v>14</v>
      </c>
      <c r="G580" t="s">
        <v>15</v>
      </c>
      <c r="H580" t="s">
        <v>16</v>
      </c>
      <c r="I580">
        <v>100</v>
      </c>
      <c r="J580" t="s">
        <v>53</v>
      </c>
      <c r="K580" t="s">
        <v>18</v>
      </c>
    </row>
    <row r="581" spans="1:11" x14ac:dyDescent="0.5">
      <c r="A581" t="s">
        <v>1207</v>
      </c>
      <c r="B581" t="s">
        <v>1051</v>
      </c>
      <c r="C581" t="s">
        <v>1208</v>
      </c>
      <c r="D581" s="1">
        <v>1.67E-2</v>
      </c>
      <c r="E581">
        <v>35.700000000000003</v>
      </c>
      <c r="F581" t="s">
        <v>14</v>
      </c>
      <c r="G581" t="s">
        <v>15</v>
      </c>
      <c r="H581" t="s">
        <v>16</v>
      </c>
      <c r="I581">
        <v>100</v>
      </c>
      <c r="J581" t="s">
        <v>53</v>
      </c>
      <c r="K581" t="s">
        <v>18</v>
      </c>
    </row>
    <row r="582" spans="1:11" x14ac:dyDescent="0.5">
      <c r="A582" t="s">
        <v>1209</v>
      </c>
      <c r="B582" t="s">
        <v>1051</v>
      </c>
      <c r="C582" t="s">
        <v>1210</v>
      </c>
      <c r="D582" s="1">
        <v>8.3999999999999995E-3</v>
      </c>
      <c r="E582">
        <v>35.4</v>
      </c>
      <c r="F582" t="s">
        <v>14</v>
      </c>
      <c r="G582" t="s">
        <v>15</v>
      </c>
      <c r="H582" t="s">
        <v>16</v>
      </c>
      <c r="I582">
        <v>100</v>
      </c>
      <c r="J582" t="s">
        <v>53</v>
      </c>
      <c r="K582" t="s">
        <v>18</v>
      </c>
    </row>
    <row r="583" spans="1:11" x14ac:dyDescent="0.5">
      <c r="A583" t="s">
        <v>1211</v>
      </c>
      <c r="B583" t="s">
        <v>1051</v>
      </c>
      <c r="C583" t="s">
        <v>1212</v>
      </c>
      <c r="D583" s="1">
        <v>1.5599999999999999E-2</v>
      </c>
      <c r="E583">
        <v>35.200000000000003</v>
      </c>
      <c r="F583" t="s">
        <v>14</v>
      </c>
      <c r="G583" t="s">
        <v>15</v>
      </c>
      <c r="H583" t="s">
        <v>16</v>
      </c>
      <c r="I583">
        <v>100</v>
      </c>
      <c r="J583" t="s">
        <v>53</v>
      </c>
      <c r="K583" t="s">
        <v>18</v>
      </c>
    </row>
    <row r="584" spans="1:11" x14ac:dyDescent="0.5">
      <c r="A584" t="s">
        <v>1213</v>
      </c>
      <c r="B584" t="s">
        <v>1051</v>
      </c>
      <c r="C584" t="s">
        <v>1214</v>
      </c>
      <c r="D584" s="1">
        <v>6.1999999999999998E-3</v>
      </c>
      <c r="E584">
        <v>46.5</v>
      </c>
      <c r="F584" t="s">
        <v>14</v>
      </c>
      <c r="G584" t="s">
        <v>15</v>
      </c>
      <c r="H584" t="s">
        <v>16</v>
      </c>
      <c r="I584">
        <v>83.12</v>
      </c>
      <c r="J584" t="s">
        <v>53</v>
      </c>
      <c r="K584" t="s">
        <v>18</v>
      </c>
    </row>
    <row r="585" spans="1:11" x14ac:dyDescent="0.5">
      <c r="A585" t="s">
        <v>1215</v>
      </c>
      <c r="B585" t="s">
        <v>1051</v>
      </c>
      <c r="C585" t="s">
        <v>1216</v>
      </c>
      <c r="D585" s="1">
        <v>1.0999999999999999E-2</v>
      </c>
      <c r="E585">
        <v>49.4</v>
      </c>
      <c r="F585" t="s">
        <v>14</v>
      </c>
      <c r="G585" t="s">
        <v>15</v>
      </c>
      <c r="H585" t="s">
        <v>16</v>
      </c>
      <c r="I585">
        <v>78.89</v>
      </c>
      <c r="J585" t="s">
        <v>53</v>
      </c>
      <c r="K585" t="s">
        <v>18</v>
      </c>
    </row>
    <row r="586" spans="1:11" x14ac:dyDescent="0.5">
      <c r="A586" t="s">
        <v>1217</v>
      </c>
      <c r="B586" t="s">
        <v>1051</v>
      </c>
      <c r="C586" t="s">
        <v>1218</v>
      </c>
      <c r="D586" s="1">
        <v>3.3799999999999997E-2</v>
      </c>
      <c r="E586">
        <v>11.3</v>
      </c>
      <c r="F586" t="s">
        <v>14</v>
      </c>
      <c r="G586" t="s">
        <v>15</v>
      </c>
      <c r="H586" t="s">
        <v>16</v>
      </c>
      <c r="I586">
        <v>100</v>
      </c>
      <c r="J586" t="s">
        <v>53</v>
      </c>
      <c r="K586" t="s">
        <v>18</v>
      </c>
    </row>
    <row r="587" spans="1:11" x14ac:dyDescent="0.5">
      <c r="A587" t="s">
        <v>1219</v>
      </c>
      <c r="B587" t="s">
        <v>1051</v>
      </c>
      <c r="C587" t="s">
        <v>1220</v>
      </c>
      <c r="D587" s="1">
        <v>1.5900000000000001E-2</v>
      </c>
      <c r="E587">
        <v>33.9</v>
      </c>
      <c r="F587" t="s">
        <v>14</v>
      </c>
      <c r="G587" t="s">
        <v>15</v>
      </c>
      <c r="H587" t="s">
        <v>16</v>
      </c>
      <c r="I587">
        <v>100</v>
      </c>
      <c r="J587" t="s">
        <v>53</v>
      </c>
      <c r="K587" t="s">
        <v>18</v>
      </c>
    </row>
    <row r="588" spans="1:11" x14ac:dyDescent="0.5">
      <c r="A588" t="s">
        <v>1221</v>
      </c>
      <c r="B588" t="s">
        <v>1051</v>
      </c>
      <c r="C588" t="s">
        <v>1222</v>
      </c>
      <c r="D588" s="1">
        <v>1.18E-2</v>
      </c>
      <c r="E588">
        <v>43.4</v>
      </c>
      <c r="F588" t="s">
        <v>14</v>
      </c>
      <c r="G588" t="s">
        <v>16</v>
      </c>
      <c r="H588" t="s">
        <v>16</v>
      </c>
      <c r="I588">
        <v>86.68</v>
      </c>
      <c r="J588" t="s">
        <v>53</v>
      </c>
      <c r="K588" t="s">
        <v>18</v>
      </c>
    </row>
    <row r="589" spans="1:11" x14ac:dyDescent="0.5">
      <c r="A589" t="s">
        <v>1223</v>
      </c>
      <c r="B589" t="s">
        <v>1051</v>
      </c>
      <c r="C589" t="s">
        <v>1224</v>
      </c>
      <c r="D589" s="1">
        <v>1.17E-2</v>
      </c>
      <c r="E589">
        <v>33.4</v>
      </c>
      <c r="F589" t="s">
        <v>14</v>
      </c>
      <c r="G589" t="s">
        <v>15</v>
      </c>
      <c r="H589" t="s">
        <v>16</v>
      </c>
      <c r="I589">
        <v>100</v>
      </c>
      <c r="J589" t="s">
        <v>53</v>
      </c>
      <c r="K589" t="s">
        <v>18</v>
      </c>
    </row>
    <row r="590" spans="1:11" x14ac:dyDescent="0.5">
      <c r="A590" t="s">
        <v>1225</v>
      </c>
      <c r="B590" t="s">
        <v>1051</v>
      </c>
      <c r="C590" t="s">
        <v>1226</v>
      </c>
      <c r="D590" s="1">
        <v>7.0000000000000001E-3</v>
      </c>
      <c r="E590">
        <v>33.299999999999997</v>
      </c>
      <c r="F590" t="s">
        <v>14</v>
      </c>
      <c r="G590" t="s">
        <v>15</v>
      </c>
      <c r="H590" t="s">
        <v>16</v>
      </c>
      <c r="I590">
        <v>100</v>
      </c>
      <c r="J590" t="s">
        <v>53</v>
      </c>
      <c r="K590" t="s">
        <v>18</v>
      </c>
    </row>
    <row r="591" spans="1:11" x14ac:dyDescent="0.5">
      <c r="A591" t="s">
        <v>1227</v>
      </c>
      <c r="B591" t="s">
        <v>1051</v>
      </c>
      <c r="C591" t="s">
        <v>1228</v>
      </c>
      <c r="D591" s="1">
        <v>4.8800000000000003E-2</v>
      </c>
      <c r="E591">
        <v>27.9</v>
      </c>
      <c r="F591" t="s">
        <v>14</v>
      </c>
      <c r="G591" t="s">
        <v>16</v>
      </c>
      <c r="H591" t="s">
        <v>16</v>
      </c>
      <c r="I591">
        <v>75.260000000000005</v>
      </c>
      <c r="J591" t="s">
        <v>53</v>
      </c>
      <c r="K591" t="s">
        <v>18</v>
      </c>
    </row>
    <row r="592" spans="1:11" x14ac:dyDescent="0.5">
      <c r="A592" t="s">
        <v>1229</v>
      </c>
      <c r="B592" t="s">
        <v>1051</v>
      </c>
      <c r="C592" t="s">
        <v>1230</v>
      </c>
      <c r="D592" s="1">
        <v>7.1999999999999998E-3</v>
      </c>
      <c r="E592">
        <v>32.6</v>
      </c>
      <c r="F592" t="s">
        <v>14</v>
      </c>
      <c r="G592" t="s">
        <v>15</v>
      </c>
      <c r="H592" t="s">
        <v>16</v>
      </c>
      <c r="I592">
        <v>100</v>
      </c>
      <c r="J592" t="s">
        <v>53</v>
      </c>
      <c r="K592" t="s">
        <v>18</v>
      </c>
    </row>
    <row r="593" spans="1:11" x14ac:dyDescent="0.5">
      <c r="A593" t="s">
        <v>1231</v>
      </c>
      <c r="B593" t="s">
        <v>1051</v>
      </c>
      <c r="C593" t="s">
        <v>1232</v>
      </c>
      <c r="D593" s="1">
        <v>1.6899999999999998E-2</v>
      </c>
      <c r="E593">
        <v>42.6</v>
      </c>
      <c r="F593" t="s">
        <v>14</v>
      </c>
      <c r="G593" t="s">
        <v>15</v>
      </c>
      <c r="H593" t="s">
        <v>16</v>
      </c>
      <c r="I593">
        <v>85.98</v>
      </c>
      <c r="J593" t="s">
        <v>53</v>
      </c>
      <c r="K593" t="s">
        <v>18</v>
      </c>
    </row>
    <row r="594" spans="1:11" x14ac:dyDescent="0.5">
      <c r="A594" t="s">
        <v>1233</v>
      </c>
      <c r="B594" t="s">
        <v>1051</v>
      </c>
      <c r="C594" t="s">
        <v>1234</v>
      </c>
      <c r="D594" s="1">
        <v>1.15E-2</v>
      </c>
      <c r="E594">
        <v>42.6</v>
      </c>
      <c r="F594" t="s">
        <v>14</v>
      </c>
      <c r="G594" t="s">
        <v>16</v>
      </c>
      <c r="H594" t="s">
        <v>16</v>
      </c>
      <c r="I594">
        <v>85.71</v>
      </c>
      <c r="J594" t="s">
        <v>53</v>
      </c>
      <c r="K594" t="s">
        <v>18</v>
      </c>
    </row>
    <row r="595" spans="1:11" x14ac:dyDescent="0.5">
      <c r="A595" t="s">
        <v>1235</v>
      </c>
      <c r="B595" t="s">
        <v>1051</v>
      </c>
      <c r="C595" t="s">
        <v>1236</v>
      </c>
      <c r="D595" s="1">
        <v>4.8999999999999998E-3</v>
      </c>
      <c r="E595">
        <v>44.2</v>
      </c>
      <c r="F595" t="s">
        <v>14</v>
      </c>
      <c r="G595" t="s">
        <v>15</v>
      </c>
      <c r="H595" t="s">
        <v>16</v>
      </c>
      <c r="I595">
        <v>82.54</v>
      </c>
      <c r="J595" t="s">
        <v>53</v>
      </c>
      <c r="K595" t="s">
        <v>18</v>
      </c>
    </row>
    <row r="596" spans="1:11" x14ac:dyDescent="0.5">
      <c r="A596" t="s">
        <v>1237</v>
      </c>
      <c r="B596" t="s">
        <v>1051</v>
      </c>
      <c r="C596" t="s">
        <v>1238</v>
      </c>
      <c r="D596" s="1">
        <v>8.8000000000000005E-3</v>
      </c>
      <c r="E596">
        <v>31.7</v>
      </c>
      <c r="F596" t="s">
        <v>14</v>
      </c>
      <c r="G596" t="s">
        <v>15</v>
      </c>
      <c r="H596" t="s">
        <v>16</v>
      </c>
      <c r="I596">
        <v>100</v>
      </c>
      <c r="J596" t="s">
        <v>53</v>
      </c>
      <c r="K596" t="s">
        <v>18</v>
      </c>
    </row>
    <row r="597" spans="1:11" x14ac:dyDescent="0.5">
      <c r="A597" t="s">
        <v>1239</v>
      </c>
      <c r="B597" t="s">
        <v>1051</v>
      </c>
      <c r="C597" t="s">
        <v>1240</v>
      </c>
      <c r="D597" s="1">
        <v>5.5999999999999999E-3</v>
      </c>
      <c r="E597">
        <v>30.1</v>
      </c>
      <c r="F597" t="s">
        <v>14</v>
      </c>
      <c r="G597" t="s">
        <v>15</v>
      </c>
      <c r="H597" t="s">
        <v>16</v>
      </c>
      <c r="I597">
        <v>100</v>
      </c>
      <c r="J597" t="s">
        <v>53</v>
      </c>
      <c r="K597" t="s">
        <v>18</v>
      </c>
    </row>
    <row r="598" spans="1:11" x14ac:dyDescent="0.5">
      <c r="A598" t="s">
        <v>1241</v>
      </c>
      <c r="B598" t="s">
        <v>1051</v>
      </c>
      <c r="C598" t="s">
        <v>1242</v>
      </c>
      <c r="D598" s="1">
        <v>9.1000000000000004E-3</v>
      </c>
      <c r="E598">
        <v>42.9</v>
      </c>
      <c r="F598" t="s">
        <v>14</v>
      </c>
      <c r="G598" t="s">
        <v>15</v>
      </c>
      <c r="H598" t="s">
        <v>16</v>
      </c>
      <c r="I598">
        <v>82.05</v>
      </c>
      <c r="J598" t="s">
        <v>53</v>
      </c>
      <c r="K598" t="s">
        <v>18</v>
      </c>
    </row>
    <row r="599" spans="1:11" x14ac:dyDescent="0.5">
      <c r="A599" t="s">
        <v>1243</v>
      </c>
      <c r="B599" t="s">
        <v>1051</v>
      </c>
      <c r="C599" t="s">
        <v>1244</v>
      </c>
      <c r="D599" s="1">
        <v>2.2000000000000001E-3</v>
      </c>
      <c r="E599">
        <v>43</v>
      </c>
      <c r="F599" t="s">
        <v>14</v>
      </c>
      <c r="G599" t="s">
        <v>16</v>
      </c>
      <c r="H599" t="s">
        <v>16</v>
      </c>
      <c r="I599">
        <v>80.47</v>
      </c>
      <c r="J599" t="s">
        <v>53</v>
      </c>
      <c r="K599" t="s">
        <v>18</v>
      </c>
    </row>
    <row r="600" spans="1:11" x14ac:dyDescent="0.5">
      <c r="A600" t="s">
        <v>1245</v>
      </c>
      <c r="B600" t="s">
        <v>1051</v>
      </c>
      <c r="C600" t="s">
        <v>1246</v>
      </c>
      <c r="D600" s="1">
        <v>1.8599999999999998E-2</v>
      </c>
      <c r="E600">
        <v>43.5</v>
      </c>
      <c r="F600" t="s">
        <v>14</v>
      </c>
      <c r="G600" t="s">
        <v>15</v>
      </c>
      <c r="H600" t="s">
        <v>16</v>
      </c>
      <c r="I600">
        <v>78.62</v>
      </c>
      <c r="J600" t="s">
        <v>53</v>
      </c>
      <c r="K600" t="s">
        <v>18</v>
      </c>
    </row>
    <row r="601" spans="1:11" x14ac:dyDescent="0.5">
      <c r="A601" t="s">
        <v>1247</v>
      </c>
      <c r="B601" t="s">
        <v>1051</v>
      </c>
      <c r="C601" t="s">
        <v>1248</v>
      </c>
      <c r="D601" s="1">
        <v>1.4200000000000001E-2</v>
      </c>
      <c r="E601">
        <v>28.2</v>
      </c>
      <c r="F601" t="s">
        <v>14</v>
      </c>
      <c r="G601" t="s">
        <v>15</v>
      </c>
      <c r="H601" t="s">
        <v>16</v>
      </c>
      <c r="I601">
        <v>100</v>
      </c>
      <c r="J601" t="s">
        <v>53</v>
      </c>
      <c r="K601" t="s">
        <v>18</v>
      </c>
    </row>
    <row r="602" spans="1:11" x14ac:dyDescent="0.5">
      <c r="A602" t="s">
        <v>1249</v>
      </c>
      <c r="B602" t="s">
        <v>1051</v>
      </c>
      <c r="C602" t="s">
        <v>1250</v>
      </c>
      <c r="D602" s="1">
        <v>8.0999999999999996E-3</v>
      </c>
      <c r="E602">
        <v>44.1</v>
      </c>
      <c r="F602" t="s">
        <v>14</v>
      </c>
      <c r="G602" t="s">
        <v>16</v>
      </c>
      <c r="H602" t="s">
        <v>16</v>
      </c>
      <c r="I602">
        <v>77.09</v>
      </c>
      <c r="J602" t="s">
        <v>53</v>
      </c>
      <c r="K602" t="s">
        <v>18</v>
      </c>
    </row>
    <row r="603" spans="1:11" x14ac:dyDescent="0.5">
      <c r="A603" t="s">
        <v>1251</v>
      </c>
      <c r="B603" t="s">
        <v>1051</v>
      </c>
      <c r="C603" t="s">
        <v>1252</v>
      </c>
      <c r="D603" s="1">
        <v>1.6500000000000001E-2</v>
      </c>
      <c r="E603">
        <v>42.6</v>
      </c>
      <c r="F603" t="s">
        <v>14</v>
      </c>
      <c r="G603" t="s">
        <v>15</v>
      </c>
      <c r="H603" t="s">
        <v>16</v>
      </c>
      <c r="I603">
        <v>78.739999999999995</v>
      </c>
      <c r="J603" t="s">
        <v>53</v>
      </c>
      <c r="K603" t="s">
        <v>18</v>
      </c>
    </row>
    <row r="604" spans="1:11" x14ac:dyDescent="0.5">
      <c r="A604" t="s">
        <v>1253</v>
      </c>
      <c r="B604" t="s">
        <v>1051</v>
      </c>
      <c r="C604" t="s">
        <v>1254</v>
      </c>
      <c r="D604" s="1">
        <v>8.0000000000000002E-3</v>
      </c>
      <c r="E604">
        <v>51.2</v>
      </c>
      <c r="F604" t="s">
        <v>14</v>
      </c>
      <c r="G604" t="s">
        <v>15</v>
      </c>
      <c r="H604" t="s">
        <v>16</v>
      </c>
      <c r="I604">
        <v>66.69</v>
      </c>
      <c r="J604" t="s">
        <v>53</v>
      </c>
      <c r="K604" t="s">
        <v>18</v>
      </c>
    </row>
    <row r="605" spans="1:11" x14ac:dyDescent="0.5">
      <c r="A605" t="s">
        <v>1255</v>
      </c>
      <c r="B605" t="s">
        <v>1051</v>
      </c>
      <c r="C605" t="s">
        <v>1256</v>
      </c>
      <c r="D605" s="1">
        <v>1.0800000000000001E-2</v>
      </c>
      <c r="E605">
        <v>27.4</v>
      </c>
      <c r="F605" t="s">
        <v>14</v>
      </c>
      <c r="G605" t="s">
        <v>15</v>
      </c>
      <c r="H605" t="s">
        <v>16</v>
      </c>
      <c r="I605">
        <v>100</v>
      </c>
      <c r="J605" t="s">
        <v>53</v>
      </c>
      <c r="K605" t="s">
        <v>18</v>
      </c>
    </row>
    <row r="606" spans="1:11" x14ac:dyDescent="0.5">
      <c r="A606" t="s">
        <v>1257</v>
      </c>
      <c r="B606" t="s">
        <v>1051</v>
      </c>
      <c r="C606" t="s">
        <v>1258</v>
      </c>
      <c r="D606" s="1">
        <v>1.38E-2</v>
      </c>
      <c r="E606">
        <v>37.5</v>
      </c>
      <c r="F606" t="s">
        <v>14</v>
      </c>
      <c r="G606" t="s">
        <v>16</v>
      </c>
      <c r="H606" t="s">
        <v>16</v>
      </c>
      <c r="I606">
        <v>85.76</v>
      </c>
      <c r="J606" t="s">
        <v>53</v>
      </c>
      <c r="K606" t="s">
        <v>18</v>
      </c>
    </row>
    <row r="607" spans="1:11" x14ac:dyDescent="0.5">
      <c r="A607" t="s">
        <v>1259</v>
      </c>
      <c r="B607" t="s">
        <v>1051</v>
      </c>
      <c r="C607" t="s">
        <v>1260</v>
      </c>
      <c r="D607" s="1">
        <v>9.7999999999999997E-3</v>
      </c>
      <c r="E607">
        <v>46.7</v>
      </c>
      <c r="F607" t="s">
        <v>14</v>
      </c>
      <c r="G607" t="s">
        <v>16</v>
      </c>
      <c r="H607" t="s">
        <v>16</v>
      </c>
      <c r="I607">
        <v>72.12</v>
      </c>
      <c r="J607" t="s">
        <v>53</v>
      </c>
      <c r="K607" t="s">
        <v>18</v>
      </c>
    </row>
    <row r="608" spans="1:11" x14ac:dyDescent="0.5">
      <c r="A608" t="s">
        <v>1261</v>
      </c>
      <c r="B608" t="s">
        <v>1051</v>
      </c>
      <c r="C608" t="s">
        <v>1262</v>
      </c>
      <c r="D608" s="1">
        <v>8.0999999999999996E-3</v>
      </c>
      <c r="E608">
        <v>41.1</v>
      </c>
      <c r="F608" t="s">
        <v>14</v>
      </c>
      <c r="G608" t="s">
        <v>15</v>
      </c>
      <c r="H608" t="s">
        <v>16</v>
      </c>
      <c r="I608">
        <v>79.599999999999994</v>
      </c>
      <c r="J608" t="s">
        <v>53</v>
      </c>
      <c r="K608" t="s">
        <v>18</v>
      </c>
    </row>
    <row r="609" spans="1:11" x14ac:dyDescent="0.5">
      <c r="A609" t="s">
        <v>1263</v>
      </c>
      <c r="B609" t="s">
        <v>1051</v>
      </c>
      <c r="C609" t="s">
        <v>1264</v>
      </c>
      <c r="D609" s="1">
        <v>1.4500000000000001E-2</v>
      </c>
      <c r="E609">
        <v>38.5</v>
      </c>
      <c r="F609" t="s">
        <v>14</v>
      </c>
      <c r="G609" t="s">
        <v>16</v>
      </c>
      <c r="H609" t="s">
        <v>16</v>
      </c>
      <c r="I609">
        <v>82.98</v>
      </c>
      <c r="J609" t="s">
        <v>53</v>
      </c>
      <c r="K609" t="s">
        <v>18</v>
      </c>
    </row>
    <row r="610" spans="1:11" x14ac:dyDescent="0.5">
      <c r="A610" t="s">
        <v>1265</v>
      </c>
      <c r="B610" t="s">
        <v>1051</v>
      </c>
      <c r="C610" t="s">
        <v>1266</v>
      </c>
      <c r="D610" s="1">
        <v>5.0000000000000001E-3</v>
      </c>
      <c r="E610">
        <v>36.6</v>
      </c>
      <c r="F610" t="s">
        <v>14</v>
      </c>
      <c r="G610" t="s">
        <v>15</v>
      </c>
      <c r="H610" t="s">
        <v>16</v>
      </c>
      <c r="I610">
        <v>83.44</v>
      </c>
      <c r="J610" t="s">
        <v>53</v>
      </c>
      <c r="K610" t="s">
        <v>18</v>
      </c>
    </row>
    <row r="611" spans="1:11" x14ac:dyDescent="0.5">
      <c r="A611" t="s">
        <v>1267</v>
      </c>
      <c r="B611" t="s">
        <v>1051</v>
      </c>
      <c r="C611" t="s">
        <v>1268</v>
      </c>
      <c r="D611" s="1">
        <v>4.4600000000000001E-2</v>
      </c>
      <c r="E611">
        <v>34.200000000000003</v>
      </c>
      <c r="F611" t="s">
        <v>14</v>
      </c>
      <c r="G611" t="s">
        <v>15</v>
      </c>
      <c r="H611" t="s">
        <v>16</v>
      </c>
      <c r="I611">
        <v>52.83</v>
      </c>
      <c r="J611" t="s">
        <v>53</v>
      </c>
      <c r="K611" t="s">
        <v>18</v>
      </c>
    </row>
    <row r="612" spans="1:11" x14ac:dyDescent="0.5">
      <c r="A612" t="s">
        <v>1269</v>
      </c>
      <c r="B612" t="s">
        <v>1051</v>
      </c>
      <c r="C612" t="s">
        <v>1270</v>
      </c>
      <c r="D612" s="1">
        <v>1.04E-2</v>
      </c>
      <c r="E612">
        <v>40.5</v>
      </c>
      <c r="F612" t="s">
        <v>14</v>
      </c>
      <c r="G612" t="s">
        <v>16</v>
      </c>
      <c r="H612" t="s">
        <v>16</v>
      </c>
      <c r="I612">
        <v>75.959999999999994</v>
      </c>
      <c r="J612" t="s">
        <v>53</v>
      </c>
      <c r="K612" t="s">
        <v>18</v>
      </c>
    </row>
    <row r="613" spans="1:11" x14ac:dyDescent="0.5">
      <c r="A613" t="s">
        <v>1271</v>
      </c>
      <c r="B613" t="s">
        <v>1051</v>
      </c>
      <c r="C613" t="s">
        <v>1272</v>
      </c>
      <c r="D613" s="1">
        <v>5.5999999999999999E-3</v>
      </c>
      <c r="E613">
        <v>48.2</v>
      </c>
      <c r="F613" t="s">
        <v>14</v>
      </c>
      <c r="G613" t="s">
        <v>15</v>
      </c>
      <c r="H613" t="s">
        <v>16</v>
      </c>
      <c r="I613">
        <v>65.12</v>
      </c>
      <c r="J613" t="s">
        <v>53</v>
      </c>
      <c r="K613" t="s">
        <v>18</v>
      </c>
    </row>
    <row r="614" spans="1:11" x14ac:dyDescent="0.5">
      <c r="A614" t="s">
        <v>1273</v>
      </c>
      <c r="B614" t="s">
        <v>1051</v>
      </c>
      <c r="C614" t="s">
        <v>1274</v>
      </c>
      <c r="D614" s="1">
        <v>5.9200000000000003E-2</v>
      </c>
      <c r="E614">
        <v>26.4</v>
      </c>
      <c r="F614" t="s">
        <v>14</v>
      </c>
      <c r="G614" t="s">
        <v>16</v>
      </c>
      <c r="H614" t="s">
        <v>16</v>
      </c>
      <c r="I614">
        <v>62.37</v>
      </c>
      <c r="J614" t="s">
        <v>53</v>
      </c>
      <c r="K614" t="s">
        <v>18</v>
      </c>
    </row>
    <row r="615" spans="1:11" x14ac:dyDescent="0.5">
      <c r="A615" t="s">
        <v>1275</v>
      </c>
      <c r="B615" t="s">
        <v>1051</v>
      </c>
      <c r="C615" t="s">
        <v>1276</v>
      </c>
      <c r="D615" s="1">
        <v>9.1000000000000004E-3</v>
      </c>
      <c r="E615">
        <v>38.799999999999997</v>
      </c>
      <c r="F615" t="s">
        <v>14</v>
      </c>
      <c r="G615" t="s">
        <v>16</v>
      </c>
      <c r="H615" t="s">
        <v>16</v>
      </c>
      <c r="I615">
        <v>75.959999999999994</v>
      </c>
      <c r="J615" t="s">
        <v>53</v>
      </c>
      <c r="K615" t="s">
        <v>18</v>
      </c>
    </row>
    <row r="616" spans="1:11" x14ac:dyDescent="0.5">
      <c r="A616" t="s">
        <v>1277</v>
      </c>
      <c r="B616" t="s">
        <v>1051</v>
      </c>
      <c r="C616" t="s">
        <v>1278</v>
      </c>
      <c r="D616" s="1">
        <v>2.0799999999999999E-2</v>
      </c>
      <c r="E616">
        <v>26.8</v>
      </c>
      <c r="F616" t="s">
        <v>14</v>
      </c>
      <c r="G616" t="s">
        <v>16</v>
      </c>
      <c r="H616" t="s">
        <v>16</v>
      </c>
      <c r="I616">
        <v>59.54</v>
      </c>
      <c r="J616" t="s">
        <v>53</v>
      </c>
      <c r="K616" t="s">
        <v>18</v>
      </c>
    </row>
    <row r="617" spans="1:11" x14ac:dyDescent="0.5">
      <c r="A617" t="s">
        <v>1279</v>
      </c>
      <c r="B617" t="s">
        <v>1051</v>
      </c>
      <c r="C617" t="s">
        <v>1280</v>
      </c>
      <c r="D617" s="1">
        <v>1.49E-2</v>
      </c>
      <c r="E617">
        <v>40.200000000000003</v>
      </c>
      <c r="F617" t="s">
        <v>14</v>
      </c>
      <c r="G617" t="s">
        <v>15</v>
      </c>
      <c r="H617" t="s">
        <v>16</v>
      </c>
      <c r="I617">
        <v>72.33</v>
      </c>
      <c r="J617" t="s">
        <v>53</v>
      </c>
      <c r="K617" t="s">
        <v>18</v>
      </c>
    </row>
    <row r="618" spans="1:11" x14ac:dyDescent="0.5">
      <c r="A618" t="s">
        <v>1281</v>
      </c>
      <c r="B618" t="s">
        <v>1051</v>
      </c>
      <c r="C618" t="s">
        <v>1282</v>
      </c>
      <c r="D618" s="1">
        <v>6.7000000000000002E-3</v>
      </c>
      <c r="E618">
        <v>30.2</v>
      </c>
      <c r="F618" t="s">
        <v>14</v>
      </c>
      <c r="G618" t="s">
        <v>16</v>
      </c>
      <c r="H618" t="s">
        <v>16</v>
      </c>
      <c r="I618">
        <v>82.18</v>
      </c>
      <c r="J618" t="s">
        <v>53</v>
      </c>
      <c r="K618" t="s">
        <v>18</v>
      </c>
    </row>
    <row r="619" spans="1:11" x14ac:dyDescent="0.5">
      <c r="A619" t="s">
        <v>1283</v>
      </c>
      <c r="B619" t="s">
        <v>1051</v>
      </c>
      <c r="C619" t="s">
        <v>1284</v>
      </c>
      <c r="D619" s="1">
        <v>1.47E-2</v>
      </c>
      <c r="E619">
        <v>27.3</v>
      </c>
      <c r="F619" t="s">
        <v>14</v>
      </c>
      <c r="G619" t="s">
        <v>15</v>
      </c>
      <c r="H619" t="s">
        <v>16</v>
      </c>
      <c r="I619">
        <v>86.08</v>
      </c>
      <c r="J619" t="s">
        <v>53</v>
      </c>
      <c r="K619" t="s">
        <v>18</v>
      </c>
    </row>
    <row r="620" spans="1:11" x14ac:dyDescent="0.5">
      <c r="A620" t="s">
        <v>1285</v>
      </c>
      <c r="B620" t="s">
        <v>1051</v>
      </c>
      <c r="C620" t="s">
        <v>1286</v>
      </c>
      <c r="D620" s="1">
        <v>4.3099999999999999E-2</v>
      </c>
      <c r="E620">
        <v>28.2</v>
      </c>
      <c r="F620" t="s">
        <v>14</v>
      </c>
      <c r="G620" t="s">
        <v>15</v>
      </c>
      <c r="H620" t="s">
        <v>16</v>
      </c>
      <c r="I620">
        <v>52.28</v>
      </c>
      <c r="J620" t="s">
        <v>53</v>
      </c>
      <c r="K620" t="s">
        <v>18</v>
      </c>
    </row>
    <row r="621" spans="1:11" x14ac:dyDescent="0.5">
      <c r="A621" t="s">
        <v>1287</v>
      </c>
      <c r="B621" t="s">
        <v>1051</v>
      </c>
      <c r="C621" t="s">
        <v>1288</v>
      </c>
      <c r="D621" s="1">
        <v>3.5999999999999999E-3</v>
      </c>
      <c r="E621">
        <v>34.700000000000003</v>
      </c>
      <c r="F621" t="s">
        <v>14</v>
      </c>
      <c r="G621" t="s">
        <v>15</v>
      </c>
      <c r="H621" t="s">
        <v>16</v>
      </c>
      <c r="I621">
        <v>74.099999999999994</v>
      </c>
      <c r="J621" t="s">
        <v>53</v>
      </c>
      <c r="K621" t="s">
        <v>18</v>
      </c>
    </row>
    <row r="622" spans="1:11" x14ac:dyDescent="0.5">
      <c r="A622" t="s">
        <v>1289</v>
      </c>
      <c r="B622" t="s">
        <v>1051</v>
      </c>
      <c r="C622" t="s">
        <v>1290</v>
      </c>
      <c r="D622" s="1">
        <v>9.5999999999999992E-3</v>
      </c>
      <c r="E622">
        <v>41.1</v>
      </c>
      <c r="F622" t="s">
        <v>14</v>
      </c>
      <c r="G622" t="s">
        <v>15</v>
      </c>
      <c r="H622" t="s">
        <v>16</v>
      </c>
      <c r="I622">
        <v>65.040000000000006</v>
      </c>
      <c r="J622" t="s">
        <v>53</v>
      </c>
      <c r="K622" t="s">
        <v>18</v>
      </c>
    </row>
    <row r="623" spans="1:11" x14ac:dyDescent="0.5">
      <c r="A623" t="s">
        <v>1291</v>
      </c>
      <c r="B623" t="s">
        <v>1051</v>
      </c>
      <c r="C623" t="s">
        <v>1292</v>
      </c>
      <c r="D623" s="1">
        <v>5.1999999999999998E-3</v>
      </c>
      <c r="E623">
        <v>42.3</v>
      </c>
      <c r="F623" t="s">
        <v>14</v>
      </c>
      <c r="G623" t="s">
        <v>15</v>
      </c>
      <c r="H623" t="s">
        <v>16</v>
      </c>
      <c r="I623">
        <v>62.59</v>
      </c>
      <c r="J623" t="s">
        <v>53</v>
      </c>
      <c r="K623" t="s">
        <v>18</v>
      </c>
    </row>
    <row r="624" spans="1:11" x14ac:dyDescent="0.5">
      <c r="A624" t="s">
        <v>1293</v>
      </c>
      <c r="B624" t="s">
        <v>1051</v>
      </c>
      <c r="C624" t="s">
        <v>1294</v>
      </c>
      <c r="D624" s="1">
        <v>4.4900000000000002E-2</v>
      </c>
      <c r="E624">
        <v>25.2</v>
      </c>
      <c r="F624" t="s">
        <v>14</v>
      </c>
      <c r="G624" t="s">
        <v>15</v>
      </c>
      <c r="H624" t="s">
        <v>16</v>
      </c>
      <c r="I624">
        <v>52.7</v>
      </c>
      <c r="J624" t="s">
        <v>53</v>
      </c>
      <c r="K624" t="s">
        <v>18</v>
      </c>
    </row>
    <row r="625" spans="1:11" x14ac:dyDescent="0.5">
      <c r="A625" t="s">
        <v>1295</v>
      </c>
      <c r="B625" t="s">
        <v>1051</v>
      </c>
      <c r="C625" t="s">
        <v>1296</v>
      </c>
      <c r="D625" s="1">
        <v>7.0400000000000004E-2</v>
      </c>
      <c r="E625">
        <v>24.1</v>
      </c>
      <c r="F625" t="s">
        <v>14</v>
      </c>
      <c r="G625" t="s">
        <v>15</v>
      </c>
      <c r="H625" t="s">
        <v>16</v>
      </c>
      <c r="I625">
        <v>53.76</v>
      </c>
      <c r="J625" t="s">
        <v>53</v>
      </c>
      <c r="K625" t="s">
        <v>18</v>
      </c>
    </row>
    <row r="626" spans="1:11" x14ac:dyDescent="0.5">
      <c r="A626" t="s">
        <v>1297</v>
      </c>
      <c r="B626" t="s">
        <v>1051</v>
      </c>
      <c r="C626" t="s">
        <v>1298</v>
      </c>
      <c r="D626" s="1">
        <v>7.2499999999999995E-2</v>
      </c>
      <c r="E626">
        <v>24.2</v>
      </c>
      <c r="F626" t="s">
        <v>14</v>
      </c>
      <c r="G626" t="s">
        <v>16</v>
      </c>
      <c r="H626" t="s">
        <v>16</v>
      </c>
      <c r="I626">
        <v>52.18</v>
      </c>
      <c r="J626" t="s">
        <v>53</v>
      </c>
      <c r="K626" t="s">
        <v>18</v>
      </c>
    </row>
    <row r="627" spans="1:11" x14ac:dyDescent="0.5">
      <c r="A627" t="s">
        <v>1299</v>
      </c>
      <c r="B627" t="s">
        <v>1051</v>
      </c>
      <c r="C627" t="s">
        <v>1300</v>
      </c>
      <c r="D627" s="1">
        <v>8.6E-3</v>
      </c>
      <c r="E627">
        <v>39.200000000000003</v>
      </c>
      <c r="F627" t="s">
        <v>14</v>
      </c>
      <c r="G627" t="s">
        <v>16</v>
      </c>
      <c r="H627" t="s">
        <v>16</v>
      </c>
      <c r="I627">
        <v>62.86</v>
      </c>
      <c r="J627" t="s">
        <v>53</v>
      </c>
      <c r="K627" t="s">
        <v>18</v>
      </c>
    </row>
    <row r="628" spans="1:11" x14ac:dyDescent="0.5">
      <c r="A628" t="s">
        <v>1301</v>
      </c>
      <c r="B628" t="s">
        <v>1051</v>
      </c>
      <c r="C628" t="s">
        <v>1302</v>
      </c>
      <c r="D628" s="1">
        <v>1.32E-2</v>
      </c>
      <c r="E628">
        <v>32.4</v>
      </c>
      <c r="F628" t="s">
        <v>14</v>
      </c>
      <c r="G628" t="s">
        <v>16</v>
      </c>
      <c r="H628" t="s">
        <v>16</v>
      </c>
      <c r="I628">
        <v>71.39</v>
      </c>
      <c r="J628" t="s">
        <v>53</v>
      </c>
      <c r="K628" t="s">
        <v>18</v>
      </c>
    </row>
    <row r="629" spans="1:11" x14ac:dyDescent="0.5">
      <c r="A629" t="s">
        <v>1303</v>
      </c>
      <c r="B629" t="s">
        <v>1051</v>
      </c>
      <c r="C629" t="s">
        <v>1304</v>
      </c>
      <c r="D629" s="1">
        <v>7.4999999999999997E-3</v>
      </c>
      <c r="E629">
        <v>26.7</v>
      </c>
      <c r="F629" t="s">
        <v>14</v>
      </c>
      <c r="G629" t="s">
        <v>15</v>
      </c>
      <c r="H629" t="s">
        <v>16</v>
      </c>
      <c r="I629">
        <v>79.03</v>
      </c>
      <c r="J629" t="s">
        <v>53</v>
      </c>
      <c r="K629" t="s">
        <v>18</v>
      </c>
    </row>
    <row r="630" spans="1:11" x14ac:dyDescent="0.5">
      <c r="A630" t="s">
        <v>1305</v>
      </c>
      <c r="B630" t="s">
        <v>1051</v>
      </c>
      <c r="C630" t="s">
        <v>1306</v>
      </c>
      <c r="D630" s="1">
        <v>1.3899999999999999E-2</v>
      </c>
      <c r="E630">
        <v>38.5</v>
      </c>
      <c r="F630" t="s">
        <v>14</v>
      </c>
      <c r="G630" t="s">
        <v>16</v>
      </c>
      <c r="H630" t="s">
        <v>16</v>
      </c>
      <c r="I630">
        <v>62.14</v>
      </c>
      <c r="J630" t="s">
        <v>53</v>
      </c>
      <c r="K630" t="s">
        <v>18</v>
      </c>
    </row>
    <row r="631" spans="1:11" x14ac:dyDescent="0.5">
      <c r="A631" t="s">
        <v>1307</v>
      </c>
      <c r="B631" t="s">
        <v>1051</v>
      </c>
      <c r="C631" t="s">
        <v>1308</v>
      </c>
      <c r="D631" s="1">
        <v>8.6999999999999994E-3</v>
      </c>
      <c r="E631">
        <v>40.4</v>
      </c>
      <c r="F631" t="s">
        <v>14</v>
      </c>
      <c r="G631" t="s">
        <v>16</v>
      </c>
      <c r="H631" t="s">
        <v>16</v>
      </c>
      <c r="I631">
        <v>59.15</v>
      </c>
      <c r="J631" t="s">
        <v>53</v>
      </c>
      <c r="K631" t="s">
        <v>18</v>
      </c>
    </row>
    <row r="632" spans="1:11" x14ac:dyDescent="0.5">
      <c r="A632" t="s">
        <v>1309</v>
      </c>
      <c r="B632" t="s">
        <v>1051</v>
      </c>
      <c r="C632" t="s">
        <v>1310</v>
      </c>
      <c r="D632" s="1">
        <v>1.1299999999999999E-2</v>
      </c>
      <c r="E632">
        <v>38.1</v>
      </c>
      <c r="F632" t="s">
        <v>14</v>
      </c>
      <c r="G632" t="s">
        <v>16</v>
      </c>
      <c r="H632" t="s">
        <v>16</v>
      </c>
      <c r="I632">
        <v>61.76</v>
      </c>
      <c r="J632" t="s">
        <v>53</v>
      </c>
      <c r="K632" t="s">
        <v>18</v>
      </c>
    </row>
    <row r="633" spans="1:11" x14ac:dyDescent="0.5">
      <c r="A633" t="s">
        <v>1311</v>
      </c>
      <c r="B633" t="s">
        <v>1051</v>
      </c>
      <c r="C633" t="s">
        <v>1312</v>
      </c>
      <c r="D633" s="1">
        <v>6.6E-3</v>
      </c>
      <c r="E633">
        <v>36.200000000000003</v>
      </c>
      <c r="F633" t="s">
        <v>14</v>
      </c>
      <c r="G633" t="s">
        <v>15</v>
      </c>
      <c r="H633" t="s">
        <v>16</v>
      </c>
      <c r="I633">
        <v>63.59</v>
      </c>
      <c r="J633" t="s">
        <v>53</v>
      </c>
      <c r="K633" t="s">
        <v>18</v>
      </c>
    </row>
    <row r="634" spans="1:11" x14ac:dyDescent="0.5">
      <c r="A634" t="s">
        <v>1313</v>
      </c>
      <c r="B634" t="s">
        <v>1051</v>
      </c>
      <c r="C634" t="s">
        <v>1314</v>
      </c>
      <c r="D634" s="1">
        <v>6.7000000000000002E-3</v>
      </c>
      <c r="E634">
        <v>34.9</v>
      </c>
      <c r="F634" t="s">
        <v>14</v>
      </c>
      <c r="G634" t="s">
        <v>16</v>
      </c>
      <c r="H634" t="s">
        <v>16</v>
      </c>
      <c r="I634">
        <v>62.09</v>
      </c>
      <c r="J634" t="s">
        <v>53</v>
      </c>
      <c r="K634" t="s">
        <v>18</v>
      </c>
    </row>
    <row r="635" spans="1:11" x14ac:dyDescent="0.5">
      <c r="A635" t="s">
        <v>1315</v>
      </c>
      <c r="B635" t="s">
        <v>1051</v>
      </c>
      <c r="C635" t="s">
        <v>1316</v>
      </c>
      <c r="D635" s="1">
        <v>1.0800000000000001E-2</v>
      </c>
      <c r="E635">
        <v>41</v>
      </c>
      <c r="F635" t="s">
        <v>14</v>
      </c>
      <c r="G635" t="s">
        <v>16</v>
      </c>
      <c r="H635" t="s">
        <v>16</v>
      </c>
      <c r="I635">
        <v>52.69</v>
      </c>
      <c r="J635" t="s">
        <v>53</v>
      </c>
      <c r="K635" t="s">
        <v>18</v>
      </c>
    </row>
    <row r="636" spans="1:11" x14ac:dyDescent="0.5">
      <c r="A636" t="s">
        <v>1317</v>
      </c>
      <c r="B636" t="s">
        <v>1051</v>
      </c>
      <c r="C636" t="s">
        <v>1318</v>
      </c>
      <c r="D636" s="1">
        <v>1.06E-2</v>
      </c>
      <c r="E636">
        <v>41</v>
      </c>
      <c r="F636" t="s">
        <v>14</v>
      </c>
      <c r="G636" t="s">
        <v>16</v>
      </c>
      <c r="H636" t="s">
        <v>16</v>
      </c>
      <c r="I636">
        <v>52.25</v>
      </c>
      <c r="J636" t="s">
        <v>53</v>
      </c>
      <c r="K636" t="s">
        <v>18</v>
      </c>
    </row>
    <row r="637" spans="1:11" x14ac:dyDescent="0.5">
      <c r="A637" t="s">
        <v>1319</v>
      </c>
      <c r="B637" t="s">
        <v>1051</v>
      </c>
      <c r="C637" t="s">
        <v>1320</v>
      </c>
      <c r="D637" s="1">
        <v>4.0000000000000001E-3</v>
      </c>
      <c r="E637">
        <v>38.299999999999997</v>
      </c>
      <c r="F637" t="s">
        <v>14</v>
      </c>
      <c r="G637" t="s">
        <v>16</v>
      </c>
      <c r="H637" t="s">
        <v>16</v>
      </c>
      <c r="I637">
        <v>53.11</v>
      </c>
      <c r="J637" t="s">
        <v>53</v>
      </c>
      <c r="K637" t="s">
        <v>18</v>
      </c>
    </row>
    <row r="638" spans="1:11" x14ac:dyDescent="0.5">
      <c r="A638" t="s">
        <v>1321</v>
      </c>
      <c r="B638" t="s">
        <v>1051</v>
      </c>
      <c r="C638" t="s">
        <v>1322</v>
      </c>
      <c r="D638" s="1">
        <v>9.1999999999999998E-3</v>
      </c>
      <c r="E638">
        <v>38.299999999999997</v>
      </c>
      <c r="F638" t="s">
        <v>14</v>
      </c>
      <c r="G638" t="s">
        <v>16</v>
      </c>
      <c r="H638" t="s">
        <v>16</v>
      </c>
      <c r="I638">
        <v>52.21</v>
      </c>
      <c r="J638" t="s">
        <v>53</v>
      </c>
      <c r="K638" t="s">
        <v>18</v>
      </c>
    </row>
    <row r="639" spans="1:11" x14ac:dyDescent="0.5">
      <c r="A639" t="s">
        <v>1323</v>
      </c>
      <c r="B639" t="s">
        <v>1051</v>
      </c>
      <c r="C639" t="s">
        <v>1324</v>
      </c>
      <c r="D639" s="1">
        <v>2.3800000000000002E-2</v>
      </c>
      <c r="E639">
        <v>72.2</v>
      </c>
      <c r="F639" t="s">
        <v>14</v>
      </c>
      <c r="G639" t="s">
        <v>254</v>
      </c>
      <c r="H639" t="s">
        <v>254</v>
      </c>
      <c r="I639">
        <v>31.8</v>
      </c>
      <c r="J639" t="s">
        <v>255</v>
      </c>
      <c r="K639" t="s">
        <v>34</v>
      </c>
    </row>
    <row r="640" spans="1:11" x14ac:dyDescent="0.5">
      <c r="A640" t="s">
        <v>1325</v>
      </c>
      <c r="B640" t="s">
        <v>1051</v>
      </c>
      <c r="C640" t="s">
        <v>1326</v>
      </c>
      <c r="D640" s="1">
        <v>3.5999999999999999E-3</v>
      </c>
      <c r="E640">
        <v>25.6</v>
      </c>
      <c r="F640" t="s">
        <v>14</v>
      </c>
      <c r="G640" t="s">
        <v>15</v>
      </c>
      <c r="H640" t="s">
        <v>16</v>
      </c>
      <c r="I640">
        <v>61.67</v>
      </c>
      <c r="J640" t="s">
        <v>53</v>
      </c>
      <c r="K640" t="s">
        <v>18</v>
      </c>
    </row>
    <row r="641" spans="1:11" x14ac:dyDescent="0.5">
      <c r="A641" t="s">
        <v>1327</v>
      </c>
      <c r="B641" t="s">
        <v>1051</v>
      </c>
      <c r="C641" t="s">
        <v>1328</v>
      </c>
      <c r="D641" s="1">
        <v>5.1000000000000004E-3</v>
      </c>
      <c r="E641">
        <v>24.9</v>
      </c>
      <c r="F641" t="s">
        <v>14</v>
      </c>
      <c r="G641" t="s">
        <v>15</v>
      </c>
      <c r="H641" t="s">
        <v>16</v>
      </c>
      <c r="I641">
        <v>61.42</v>
      </c>
      <c r="J641" t="s">
        <v>53</v>
      </c>
      <c r="K641" t="s">
        <v>18</v>
      </c>
    </row>
    <row r="642" spans="1:11" x14ac:dyDescent="0.5">
      <c r="A642" t="s">
        <v>1329</v>
      </c>
      <c r="B642" t="s">
        <v>1051</v>
      </c>
      <c r="C642" t="s">
        <v>1330</v>
      </c>
      <c r="D642" s="1">
        <v>8.3999999999999995E-3</v>
      </c>
      <c r="E642">
        <v>62</v>
      </c>
      <c r="F642" t="s">
        <v>14</v>
      </c>
      <c r="G642" t="s">
        <v>254</v>
      </c>
      <c r="H642" t="s">
        <v>254</v>
      </c>
      <c r="I642">
        <v>45</v>
      </c>
      <c r="J642" t="s">
        <v>255</v>
      </c>
      <c r="K642" t="s">
        <v>34</v>
      </c>
    </row>
    <row r="643" spans="1:11" x14ac:dyDescent="0.5">
      <c r="A643" t="s">
        <v>1331</v>
      </c>
      <c r="B643" t="s">
        <v>1051</v>
      </c>
      <c r="C643" t="s">
        <v>1332</v>
      </c>
      <c r="D643" s="1">
        <v>6.5299999999999997E-2</v>
      </c>
      <c r="E643">
        <v>23.7</v>
      </c>
      <c r="F643" t="s">
        <v>14</v>
      </c>
      <c r="G643" t="s">
        <v>254</v>
      </c>
      <c r="H643" t="s">
        <v>254</v>
      </c>
      <c r="I643">
        <v>62</v>
      </c>
      <c r="J643" t="s">
        <v>255</v>
      </c>
      <c r="K643" t="s">
        <v>34</v>
      </c>
    </row>
    <row r="644" spans="1:11" x14ac:dyDescent="0.5">
      <c r="A644" t="s">
        <v>1333</v>
      </c>
      <c r="B644" t="s">
        <v>1051</v>
      </c>
      <c r="C644" t="s">
        <v>1334</v>
      </c>
      <c r="D644" s="1">
        <v>9.2999999999999992E-3</v>
      </c>
      <c r="E644">
        <v>58.5</v>
      </c>
      <c r="F644" t="s">
        <v>14</v>
      </c>
      <c r="G644" t="s">
        <v>254</v>
      </c>
      <c r="H644" t="s">
        <v>254</v>
      </c>
      <c r="I644">
        <v>45</v>
      </c>
      <c r="J644" t="s">
        <v>255</v>
      </c>
      <c r="K644" t="s">
        <v>34</v>
      </c>
    </row>
    <row r="645" spans="1:11" x14ac:dyDescent="0.5">
      <c r="A645" t="s">
        <v>1335</v>
      </c>
      <c r="B645" t="s">
        <v>1051</v>
      </c>
      <c r="C645" t="s">
        <v>1336</v>
      </c>
      <c r="D645" s="1">
        <v>1.17E-2</v>
      </c>
      <c r="E645">
        <v>52.5</v>
      </c>
      <c r="F645" t="s">
        <v>14</v>
      </c>
      <c r="G645" t="s">
        <v>459</v>
      </c>
      <c r="H645" t="s">
        <v>254</v>
      </c>
      <c r="I645">
        <v>45</v>
      </c>
      <c r="J645" t="s">
        <v>255</v>
      </c>
      <c r="K645" t="s">
        <v>34</v>
      </c>
    </row>
    <row r="646" spans="1:11" x14ac:dyDescent="0.5">
      <c r="A646" t="s">
        <v>1337</v>
      </c>
      <c r="B646" t="s">
        <v>1051</v>
      </c>
      <c r="C646" t="s">
        <v>1338</v>
      </c>
      <c r="D646" s="1">
        <v>2.1700000000000001E-2</v>
      </c>
      <c r="E646">
        <v>28.9</v>
      </c>
      <c r="F646" t="s">
        <v>14</v>
      </c>
      <c r="G646" t="s">
        <v>254</v>
      </c>
      <c r="H646" t="s">
        <v>254</v>
      </c>
      <c r="I646">
        <v>45</v>
      </c>
      <c r="J646" t="s">
        <v>255</v>
      </c>
      <c r="K646" t="s">
        <v>34</v>
      </c>
    </row>
    <row r="647" spans="1:11" x14ac:dyDescent="0.5">
      <c r="A647" t="s">
        <v>1339</v>
      </c>
      <c r="B647" t="s">
        <v>1051</v>
      </c>
      <c r="C647" t="s">
        <v>1340</v>
      </c>
      <c r="D647" s="1">
        <v>4.3400000000000001E-2</v>
      </c>
      <c r="E647">
        <v>27.3</v>
      </c>
      <c r="F647" t="s">
        <v>14</v>
      </c>
      <c r="G647" t="s">
        <v>459</v>
      </c>
      <c r="H647" t="s">
        <v>254</v>
      </c>
      <c r="I647">
        <v>45</v>
      </c>
      <c r="J647" t="s">
        <v>255</v>
      </c>
      <c r="K647" t="s">
        <v>34</v>
      </c>
    </row>
    <row r="648" spans="1:11" x14ac:dyDescent="0.5">
      <c r="A648" t="s">
        <v>1341</v>
      </c>
      <c r="B648" t="s">
        <v>1051</v>
      </c>
      <c r="C648" t="s">
        <v>1342</v>
      </c>
      <c r="D648" s="1">
        <v>1.9900000000000001E-2</v>
      </c>
      <c r="E648">
        <v>48</v>
      </c>
      <c r="F648" t="s">
        <v>14</v>
      </c>
      <c r="G648" t="s">
        <v>254</v>
      </c>
      <c r="H648" t="s">
        <v>254</v>
      </c>
      <c r="I648">
        <v>47.47</v>
      </c>
      <c r="J648" t="s">
        <v>255</v>
      </c>
      <c r="K648" t="s">
        <v>34</v>
      </c>
    </row>
    <row r="649" spans="1:11" x14ac:dyDescent="0.5">
      <c r="A649" t="s">
        <v>1343</v>
      </c>
      <c r="B649" t="s">
        <v>1051</v>
      </c>
      <c r="C649" t="s">
        <v>1344</v>
      </c>
      <c r="D649" s="1">
        <v>4.41E-2</v>
      </c>
      <c r="E649">
        <v>26.9</v>
      </c>
      <c r="F649" t="s">
        <v>14</v>
      </c>
      <c r="G649" t="s">
        <v>459</v>
      </c>
      <c r="H649" t="s">
        <v>254</v>
      </c>
      <c r="I649">
        <v>45</v>
      </c>
      <c r="J649" t="s">
        <v>255</v>
      </c>
      <c r="K649" t="s">
        <v>34</v>
      </c>
    </row>
    <row r="650" spans="1:11" x14ac:dyDescent="0.5">
      <c r="A650" t="s">
        <v>1345</v>
      </c>
      <c r="B650" t="s">
        <v>1051</v>
      </c>
      <c r="C650" t="s">
        <v>1346</v>
      </c>
      <c r="D650" s="1">
        <v>5.0200000000000002E-2</v>
      </c>
      <c r="E650">
        <v>26.4</v>
      </c>
      <c r="F650" t="s">
        <v>14</v>
      </c>
      <c r="G650" t="s">
        <v>459</v>
      </c>
      <c r="H650" t="s">
        <v>254</v>
      </c>
      <c r="I650">
        <v>45</v>
      </c>
      <c r="J650" t="s">
        <v>255</v>
      </c>
      <c r="K650" t="s">
        <v>34</v>
      </c>
    </row>
    <row r="651" spans="1:11" x14ac:dyDescent="0.5">
      <c r="A651" t="s">
        <v>1347</v>
      </c>
      <c r="B651" t="s">
        <v>1051</v>
      </c>
      <c r="C651" t="s">
        <v>1348</v>
      </c>
      <c r="D651" s="1">
        <v>1.24E-2</v>
      </c>
      <c r="E651">
        <v>48.7</v>
      </c>
      <c r="F651" t="s">
        <v>14</v>
      </c>
      <c r="G651" t="s">
        <v>459</v>
      </c>
      <c r="H651" t="s">
        <v>254</v>
      </c>
      <c r="I651">
        <v>45</v>
      </c>
      <c r="J651" t="s">
        <v>255</v>
      </c>
      <c r="K651" t="s">
        <v>34</v>
      </c>
    </row>
    <row r="652" spans="1:11" x14ac:dyDescent="0.5">
      <c r="A652" t="s">
        <v>1349</v>
      </c>
      <c r="B652" t="s">
        <v>1051</v>
      </c>
      <c r="C652" t="s">
        <v>1350</v>
      </c>
      <c r="D652" s="1">
        <v>3.7699999999999997E-2</v>
      </c>
      <c r="E652">
        <v>30.4</v>
      </c>
      <c r="F652" t="s">
        <v>14</v>
      </c>
      <c r="G652" t="s">
        <v>253</v>
      </c>
      <c r="H652" t="s">
        <v>32</v>
      </c>
      <c r="I652">
        <v>38.43</v>
      </c>
      <c r="J652" t="s">
        <v>33</v>
      </c>
      <c r="K652" t="s">
        <v>34</v>
      </c>
    </row>
    <row r="653" spans="1:11" x14ac:dyDescent="0.5">
      <c r="A653" t="s">
        <v>1351</v>
      </c>
      <c r="B653" t="s">
        <v>1051</v>
      </c>
      <c r="C653" t="s">
        <v>1352</v>
      </c>
      <c r="D653" s="1">
        <v>8.6999999999999994E-3</v>
      </c>
      <c r="E653">
        <v>48.5</v>
      </c>
      <c r="F653" t="s">
        <v>14</v>
      </c>
      <c r="G653" t="s">
        <v>254</v>
      </c>
      <c r="H653" t="s">
        <v>254</v>
      </c>
      <c r="I653">
        <v>45</v>
      </c>
      <c r="J653" t="s">
        <v>255</v>
      </c>
      <c r="K653" t="s">
        <v>34</v>
      </c>
    </row>
    <row r="654" spans="1:11" x14ac:dyDescent="0.5">
      <c r="A654" t="s">
        <v>1353</v>
      </c>
      <c r="B654" t="s">
        <v>1051</v>
      </c>
      <c r="C654" t="s">
        <v>1354</v>
      </c>
      <c r="D654" s="1">
        <v>3.5499999999999997E-2</v>
      </c>
      <c r="E654">
        <v>29.7</v>
      </c>
      <c r="F654" t="s">
        <v>14</v>
      </c>
      <c r="G654" t="s">
        <v>253</v>
      </c>
      <c r="H654" t="s">
        <v>32</v>
      </c>
      <c r="I654">
        <v>38.54</v>
      </c>
      <c r="J654" t="s">
        <v>33</v>
      </c>
      <c r="K654" t="s">
        <v>34</v>
      </c>
    </row>
    <row r="655" spans="1:11" x14ac:dyDescent="0.5">
      <c r="A655" t="s">
        <v>1355</v>
      </c>
      <c r="B655" t="s">
        <v>1051</v>
      </c>
      <c r="C655" t="s">
        <v>1356</v>
      </c>
      <c r="D655" s="1">
        <v>4.7699999999999999E-2</v>
      </c>
      <c r="E655">
        <v>24.8</v>
      </c>
      <c r="F655" t="s">
        <v>14</v>
      </c>
      <c r="G655" t="s">
        <v>459</v>
      </c>
      <c r="H655" t="s">
        <v>254</v>
      </c>
      <c r="I655">
        <v>45</v>
      </c>
      <c r="J655" t="s">
        <v>255</v>
      </c>
      <c r="K655" t="s">
        <v>34</v>
      </c>
    </row>
    <row r="656" spans="1:11" x14ac:dyDescent="0.5">
      <c r="A656" t="s">
        <v>1357</v>
      </c>
      <c r="B656" t="s">
        <v>1051</v>
      </c>
      <c r="C656" t="s">
        <v>1358</v>
      </c>
      <c r="D656" s="1">
        <v>3.95E-2</v>
      </c>
      <c r="E656">
        <v>24.6</v>
      </c>
      <c r="F656" t="s">
        <v>14</v>
      </c>
      <c r="G656" t="s">
        <v>459</v>
      </c>
      <c r="H656" t="s">
        <v>254</v>
      </c>
      <c r="I656">
        <v>45</v>
      </c>
      <c r="J656" t="s">
        <v>255</v>
      </c>
      <c r="K656" t="s">
        <v>34</v>
      </c>
    </row>
    <row r="657" spans="1:11" x14ac:dyDescent="0.5">
      <c r="A657" t="s">
        <v>1359</v>
      </c>
      <c r="B657" t="s">
        <v>1051</v>
      </c>
      <c r="C657" t="s">
        <v>1360</v>
      </c>
      <c r="D657" s="1">
        <v>4.6100000000000002E-2</v>
      </c>
      <c r="E657">
        <v>23.3</v>
      </c>
      <c r="F657" t="s">
        <v>14</v>
      </c>
      <c r="G657" t="s">
        <v>254</v>
      </c>
      <c r="H657" t="s">
        <v>254</v>
      </c>
      <c r="I657">
        <v>45</v>
      </c>
      <c r="J657" t="s">
        <v>255</v>
      </c>
      <c r="K657" t="s">
        <v>34</v>
      </c>
    </row>
    <row r="658" spans="1:11" x14ac:dyDescent="0.5">
      <c r="A658" t="s">
        <v>1361</v>
      </c>
      <c r="B658" t="s">
        <v>1051</v>
      </c>
      <c r="C658" t="s">
        <v>1362</v>
      </c>
      <c r="D658" s="1">
        <v>5.1999999999999998E-2</v>
      </c>
      <c r="E658">
        <v>23.1</v>
      </c>
      <c r="F658" t="s">
        <v>14</v>
      </c>
      <c r="G658" t="s">
        <v>459</v>
      </c>
      <c r="H658" t="s">
        <v>254</v>
      </c>
      <c r="I658">
        <v>45</v>
      </c>
      <c r="J658" t="s">
        <v>255</v>
      </c>
      <c r="K658" t="s">
        <v>34</v>
      </c>
    </row>
    <row r="659" spans="1:11" x14ac:dyDescent="0.5">
      <c r="A659" t="s">
        <v>1363</v>
      </c>
      <c r="B659" t="s">
        <v>1051</v>
      </c>
      <c r="C659" t="s">
        <v>1364</v>
      </c>
      <c r="D659" s="1">
        <v>3.4200000000000001E-2</v>
      </c>
      <c r="E659">
        <v>26.8</v>
      </c>
      <c r="F659" t="s">
        <v>14</v>
      </c>
      <c r="G659" t="s">
        <v>253</v>
      </c>
      <c r="H659" t="s">
        <v>32</v>
      </c>
      <c r="I659">
        <v>38.590000000000003</v>
      </c>
      <c r="J659" t="s">
        <v>33</v>
      </c>
      <c r="K659" t="s">
        <v>34</v>
      </c>
    </row>
    <row r="660" spans="1:11" x14ac:dyDescent="0.5">
      <c r="A660" t="s">
        <v>1365</v>
      </c>
      <c r="B660" t="s">
        <v>1051</v>
      </c>
      <c r="C660" t="s">
        <v>1366</v>
      </c>
      <c r="D660" s="1">
        <v>4.5900000000000003E-2</v>
      </c>
      <c r="E660">
        <v>26.4</v>
      </c>
      <c r="F660" t="s">
        <v>14</v>
      </c>
      <c r="G660" t="s">
        <v>253</v>
      </c>
      <c r="H660" t="s">
        <v>32</v>
      </c>
      <c r="I660">
        <v>37.86</v>
      </c>
      <c r="J660" t="s">
        <v>33</v>
      </c>
      <c r="K660" t="s">
        <v>34</v>
      </c>
    </row>
    <row r="661" spans="1:11" x14ac:dyDescent="0.5">
      <c r="A661" t="s">
        <v>1367</v>
      </c>
      <c r="B661" t="s">
        <v>1051</v>
      </c>
      <c r="C661" t="s">
        <v>1368</v>
      </c>
      <c r="D661" s="1">
        <v>4.9700000000000001E-2</v>
      </c>
      <c r="E661">
        <v>20.8</v>
      </c>
      <c r="F661" t="s">
        <v>14</v>
      </c>
      <c r="G661" t="s">
        <v>254</v>
      </c>
      <c r="H661" t="s">
        <v>254</v>
      </c>
      <c r="I661">
        <v>45</v>
      </c>
      <c r="J661" t="s">
        <v>255</v>
      </c>
      <c r="K661" t="s">
        <v>34</v>
      </c>
    </row>
    <row r="662" spans="1:11" x14ac:dyDescent="0.5">
      <c r="A662" t="s">
        <v>1369</v>
      </c>
      <c r="B662" t="s">
        <v>1051</v>
      </c>
      <c r="C662" t="s">
        <v>1370</v>
      </c>
      <c r="D662" s="1">
        <v>4.0300000000000002E-2</v>
      </c>
      <c r="E662">
        <v>26.7</v>
      </c>
      <c r="F662" t="s">
        <v>14</v>
      </c>
      <c r="G662" t="s">
        <v>459</v>
      </c>
      <c r="H662" t="s">
        <v>254</v>
      </c>
      <c r="I662">
        <v>36.200000000000003</v>
      </c>
      <c r="J662" t="s">
        <v>255</v>
      </c>
      <c r="K662" t="s">
        <v>34</v>
      </c>
    </row>
    <row r="663" spans="1:11" x14ac:dyDescent="0.5">
      <c r="A663" t="s">
        <v>1371</v>
      </c>
      <c r="B663" t="s">
        <v>1051</v>
      </c>
      <c r="C663" t="s">
        <v>1372</v>
      </c>
      <c r="D663" s="1">
        <v>3.2199999999999999E-2</v>
      </c>
      <c r="E663">
        <v>25.3</v>
      </c>
      <c r="F663" t="s">
        <v>14</v>
      </c>
      <c r="G663" t="s">
        <v>253</v>
      </c>
      <c r="H663" t="s">
        <v>32</v>
      </c>
      <c r="I663">
        <v>38.07</v>
      </c>
      <c r="J663" t="s">
        <v>33</v>
      </c>
      <c r="K663" t="s">
        <v>34</v>
      </c>
    </row>
    <row r="664" spans="1:11" x14ac:dyDescent="0.5">
      <c r="A664" t="s">
        <v>1373</v>
      </c>
      <c r="B664" t="s">
        <v>1051</v>
      </c>
      <c r="C664" t="s">
        <v>1374</v>
      </c>
      <c r="D664" s="1">
        <v>4.7699999999999999E-2</v>
      </c>
      <c r="E664">
        <v>20</v>
      </c>
      <c r="F664" t="s">
        <v>14</v>
      </c>
      <c r="G664" t="s">
        <v>254</v>
      </c>
      <c r="H664" t="s">
        <v>254</v>
      </c>
      <c r="I664">
        <v>45</v>
      </c>
      <c r="J664" t="s">
        <v>255</v>
      </c>
      <c r="K664" t="s">
        <v>34</v>
      </c>
    </row>
    <row r="665" spans="1:11" x14ac:dyDescent="0.5">
      <c r="A665" t="s">
        <v>1375</v>
      </c>
      <c r="B665" t="s">
        <v>1051</v>
      </c>
      <c r="C665" t="s">
        <v>1376</v>
      </c>
      <c r="D665" s="1">
        <v>3.0999999999999999E-3</v>
      </c>
      <c r="E665">
        <v>48.7</v>
      </c>
      <c r="F665" t="s">
        <v>14</v>
      </c>
      <c r="G665" t="s">
        <v>254</v>
      </c>
      <c r="H665" t="s">
        <v>254</v>
      </c>
      <c r="I665">
        <v>36.200000000000003</v>
      </c>
      <c r="J665" t="s">
        <v>255</v>
      </c>
      <c r="K665" t="s">
        <v>34</v>
      </c>
    </row>
    <row r="666" spans="1:11" x14ac:dyDescent="0.5">
      <c r="A666" t="s">
        <v>1377</v>
      </c>
      <c r="B666" t="s">
        <v>1051</v>
      </c>
      <c r="C666" t="s">
        <v>1378</v>
      </c>
      <c r="D666" s="1">
        <v>1.0699999999999999E-2</v>
      </c>
      <c r="E666">
        <v>42.3</v>
      </c>
      <c r="F666" t="s">
        <v>14</v>
      </c>
      <c r="G666" t="s">
        <v>254</v>
      </c>
      <c r="H666" t="s">
        <v>254</v>
      </c>
      <c r="I666">
        <v>45</v>
      </c>
      <c r="J666" t="s">
        <v>255</v>
      </c>
      <c r="K666" t="s">
        <v>34</v>
      </c>
    </row>
    <row r="667" spans="1:11" x14ac:dyDescent="0.5">
      <c r="A667" t="s">
        <v>1379</v>
      </c>
      <c r="B667" t="s">
        <v>1051</v>
      </c>
      <c r="C667" t="s">
        <v>1380</v>
      </c>
      <c r="D667" s="1">
        <v>4.7500000000000001E-2</v>
      </c>
      <c r="E667">
        <v>19.100000000000001</v>
      </c>
      <c r="F667" t="s">
        <v>14</v>
      </c>
      <c r="G667" t="s">
        <v>254</v>
      </c>
      <c r="H667" t="s">
        <v>254</v>
      </c>
      <c r="I667">
        <v>45</v>
      </c>
      <c r="J667" t="s">
        <v>255</v>
      </c>
      <c r="K667" t="s">
        <v>34</v>
      </c>
    </row>
    <row r="668" spans="1:11" x14ac:dyDescent="0.5">
      <c r="A668" t="s">
        <v>1381</v>
      </c>
      <c r="B668" t="s">
        <v>1051</v>
      </c>
      <c r="C668" t="s">
        <v>1382</v>
      </c>
      <c r="D668" s="1">
        <v>1.0200000000000001E-2</v>
      </c>
      <c r="E668">
        <v>41.3</v>
      </c>
      <c r="F668" t="s">
        <v>14</v>
      </c>
      <c r="G668" t="s">
        <v>459</v>
      </c>
      <c r="H668" t="s">
        <v>254</v>
      </c>
      <c r="I668">
        <v>45</v>
      </c>
      <c r="J668" t="s">
        <v>255</v>
      </c>
      <c r="K668" t="s">
        <v>34</v>
      </c>
    </row>
    <row r="669" spans="1:11" x14ac:dyDescent="0.5">
      <c r="A669" t="s">
        <v>1383</v>
      </c>
      <c r="B669" t="s">
        <v>1051</v>
      </c>
      <c r="C669" t="s">
        <v>1384</v>
      </c>
      <c r="D669" s="1">
        <v>1.32E-2</v>
      </c>
      <c r="E669">
        <v>40.299999999999997</v>
      </c>
      <c r="F669" t="s">
        <v>14</v>
      </c>
      <c r="G669" t="s">
        <v>459</v>
      </c>
      <c r="H669" t="s">
        <v>254</v>
      </c>
      <c r="I669">
        <v>45</v>
      </c>
      <c r="J669" t="s">
        <v>255</v>
      </c>
      <c r="K669" t="s">
        <v>34</v>
      </c>
    </row>
    <row r="670" spans="1:11" x14ac:dyDescent="0.5">
      <c r="A670" t="s">
        <v>1385</v>
      </c>
      <c r="B670" t="s">
        <v>1051</v>
      </c>
      <c r="C670" t="s">
        <v>1386</v>
      </c>
      <c r="D670" s="1">
        <v>5.45E-2</v>
      </c>
      <c r="E670">
        <v>15.7</v>
      </c>
      <c r="F670" t="s">
        <v>14</v>
      </c>
      <c r="G670" t="s">
        <v>459</v>
      </c>
      <c r="H670" t="s">
        <v>254</v>
      </c>
      <c r="I670">
        <v>45</v>
      </c>
      <c r="J670" t="s">
        <v>255</v>
      </c>
      <c r="K670" t="s">
        <v>34</v>
      </c>
    </row>
    <row r="671" spans="1:11" x14ac:dyDescent="0.5">
      <c r="A671" t="s">
        <v>1387</v>
      </c>
      <c r="B671" t="s">
        <v>1051</v>
      </c>
      <c r="C671" t="s">
        <v>1388</v>
      </c>
      <c r="D671" s="1">
        <v>1.0800000000000001E-2</v>
      </c>
      <c r="E671">
        <v>37.5</v>
      </c>
      <c r="F671" t="s">
        <v>14</v>
      </c>
      <c r="G671" t="s">
        <v>459</v>
      </c>
      <c r="H671" t="s">
        <v>254</v>
      </c>
      <c r="I671">
        <v>45</v>
      </c>
      <c r="J671" t="s">
        <v>255</v>
      </c>
      <c r="K671" t="s">
        <v>34</v>
      </c>
    </row>
    <row r="672" spans="1:11" x14ac:dyDescent="0.5">
      <c r="A672" t="s">
        <v>1389</v>
      </c>
      <c r="B672" t="s">
        <v>1051</v>
      </c>
      <c r="C672" t="s">
        <v>1390</v>
      </c>
      <c r="D672" s="1">
        <v>5.5300000000000002E-2</v>
      </c>
      <c r="E672">
        <v>14.4</v>
      </c>
      <c r="F672" t="s">
        <v>14</v>
      </c>
      <c r="G672" t="s">
        <v>459</v>
      </c>
      <c r="H672" t="s">
        <v>254</v>
      </c>
      <c r="I672">
        <v>45</v>
      </c>
      <c r="J672" t="s">
        <v>255</v>
      </c>
      <c r="K672" t="s">
        <v>34</v>
      </c>
    </row>
    <row r="673" spans="1:11" x14ac:dyDescent="0.5">
      <c r="A673" t="s">
        <v>1391</v>
      </c>
      <c r="B673" t="s">
        <v>1051</v>
      </c>
      <c r="C673" t="s">
        <v>1392</v>
      </c>
      <c r="D673" s="1">
        <v>3.7999999999999999E-2</v>
      </c>
      <c r="E673">
        <v>13.9</v>
      </c>
      <c r="F673" t="s">
        <v>14</v>
      </c>
      <c r="G673" t="s">
        <v>459</v>
      </c>
      <c r="H673" t="s">
        <v>254</v>
      </c>
      <c r="I673">
        <v>45</v>
      </c>
      <c r="J673" t="s">
        <v>255</v>
      </c>
      <c r="K673" t="s">
        <v>34</v>
      </c>
    </row>
    <row r="674" spans="1:11" x14ac:dyDescent="0.5">
      <c r="A674" t="s">
        <v>1393</v>
      </c>
      <c r="B674" t="s">
        <v>1051</v>
      </c>
      <c r="C674" t="s">
        <v>1394</v>
      </c>
      <c r="D674" s="1">
        <v>0.14499999999999999</v>
      </c>
      <c r="E674">
        <v>13.4</v>
      </c>
      <c r="F674" t="s">
        <v>14</v>
      </c>
      <c r="G674" t="s">
        <v>459</v>
      </c>
      <c r="H674" t="s">
        <v>254</v>
      </c>
      <c r="I674">
        <v>45</v>
      </c>
      <c r="J674" t="s">
        <v>255</v>
      </c>
      <c r="K674" t="s">
        <v>34</v>
      </c>
    </row>
    <row r="675" spans="1:11" x14ac:dyDescent="0.5">
      <c r="A675" t="s">
        <v>1395</v>
      </c>
      <c r="B675" t="s">
        <v>1051</v>
      </c>
      <c r="C675" t="s">
        <v>1396</v>
      </c>
      <c r="D675" s="1">
        <v>1.18E-2</v>
      </c>
      <c r="E675">
        <v>35.6</v>
      </c>
      <c r="F675" t="s">
        <v>14</v>
      </c>
      <c r="G675" t="s">
        <v>254</v>
      </c>
      <c r="H675" t="s">
        <v>254</v>
      </c>
      <c r="I675">
        <v>45</v>
      </c>
      <c r="J675" t="s">
        <v>255</v>
      </c>
      <c r="K675" t="s">
        <v>34</v>
      </c>
    </row>
    <row r="676" spans="1:11" x14ac:dyDescent="0.5">
      <c r="A676" t="s">
        <v>1397</v>
      </c>
      <c r="B676" t="s">
        <v>1051</v>
      </c>
      <c r="C676" t="s">
        <v>1398</v>
      </c>
      <c r="D676" s="1">
        <v>1.23E-2</v>
      </c>
      <c r="E676">
        <v>34.799999999999997</v>
      </c>
      <c r="F676" t="s">
        <v>14</v>
      </c>
      <c r="G676" t="s">
        <v>506</v>
      </c>
      <c r="H676" t="s">
        <v>32</v>
      </c>
      <c r="I676">
        <v>44.79</v>
      </c>
      <c r="J676" t="s">
        <v>33</v>
      </c>
      <c r="K676" t="s">
        <v>34</v>
      </c>
    </row>
    <row r="677" spans="1:11" x14ac:dyDescent="0.5">
      <c r="A677" t="s">
        <v>1399</v>
      </c>
      <c r="B677" t="s">
        <v>1051</v>
      </c>
      <c r="C677" t="s">
        <v>1400</v>
      </c>
      <c r="D677" s="1">
        <v>1.0200000000000001E-2</v>
      </c>
      <c r="E677">
        <v>34.6</v>
      </c>
      <c r="F677" t="s">
        <v>14</v>
      </c>
      <c r="G677" t="s">
        <v>254</v>
      </c>
      <c r="H677" t="s">
        <v>254</v>
      </c>
      <c r="I677">
        <v>45</v>
      </c>
      <c r="J677" t="s">
        <v>255</v>
      </c>
      <c r="K677" t="s">
        <v>34</v>
      </c>
    </row>
    <row r="678" spans="1:11" x14ac:dyDescent="0.5">
      <c r="A678" t="s">
        <v>1401</v>
      </c>
      <c r="B678" t="s">
        <v>1051</v>
      </c>
      <c r="C678" t="s">
        <v>1402</v>
      </c>
      <c r="D678" s="1">
        <v>8.1100000000000005E-2</v>
      </c>
      <c r="E678">
        <v>10.5</v>
      </c>
      <c r="F678" t="s">
        <v>14</v>
      </c>
      <c r="G678" t="s">
        <v>459</v>
      </c>
      <c r="H678" t="s">
        <v>254</v>
      </c>
      <c r="I678">
        <v>45</v>
      </c>
      <c r="J678" t="s">
        <v>255</v>
      </c>
      <c r="K678" t="s">
        <v>34</v>
      </c>
    </row>
    <row r="679" spans="1:11" x14ac:dyDescent="0.5">
      <c r="A679" t="s">
        <v>1403</v>
      </c>
      <c r="B679" t="s">
        <v>1051</v>
      </c>
      <c r="C679" t="s">
        <v>1404</v>
      </c>
      <c r="D679" s="1">
        <v>7.3000000000000001E-3</v>
      </c>
      <c r="E679">
        <v>26.1</v>
      </c>
      <c r="F679" t="s">
        <v>14</v>
      </c>
      <c r="G679" t="s">
        <v>506</v>
      </c>
      <c r="H679" t="s">
        <v>506</v>
      </c>
      <c r="I679">
        <v>36.1</v>
      </c>
      <c r="J679" t="s">
        <v>255</v>
      </c>
      <c r="K679" t="s">
        <v>636</v>
      </c>
    </row>
    <row r="680" spans="1:11" x14ac:dyDescent="0.5">
      <c r="A680" t="s">
        <v>1405</v>
      </c>
      <c r="B680" t="s">
        <v>1051</v>
      </c>
      <c r="C680" t="s">
        <v>1406</v>
      </c>
      <c r="D680" s="1">
        <v>6.7999999999999996E-3</v>
      </c>
      <c r="E680">
        <v>18.5</v>
      </c>
      <c r="F680" t="s">
        <v>14</v>
      </c>
      <c r="G680" t="s">
        <v>254</v>
      </c>
      <c r="H680" t="s">
        <v>254</v>
      </c>
      <c r="I680">
        <v>45</v>
      </c>
      <c r="J680" t="s">
        <v>255</v>
      </c>
      <c r="K680" t="s">
        <v>34</v>
      </c>
    </row>
    <row r="681" spans="1:11" x14ac:dyDescent="0.5">
      <c r="A681" t="s">
        <v>1407</v>
      </c>
      <c r="B681" t="s">
        <v>1051</v>
      </c>
      <c r="C681" t="s">
        <v>1408</v>
      </c>
      <c r="D681" s="1">
        <v>6.7400000000000002E-2</v>
      </c>
      <c r="E681">
        <v>100</v>
      </c>
      <c r="F681" t="s">
        <v>651</v>
      </c>
      <c r="G681" t="s">
        <v>15</v>
      </c>
      <c r="H681" t="s">
        <v>32</v>
      </c>
      <c r="I681">
        <v>30.38</v>
      </c>
      <c r="J681" t="s">
        <v>652</v>
      </c>
      <c r="K681" t="s">
        <v>652</v>
      </c>
    </row>
    <row r="682" spans="1:11" x14ac:dyDescent="0.5">
      <c r="A682" t="s">
        <v>1409</v>
      </c>
      <c r="B682" t="s">
        <v>1051</v>
      </c>
      <c r="C682" t="s">
        <v>1410</v>
      </c>
      <c r="D682" s="1">
        <v>4.5999999999999999E-3</v>
      </c>
      <c r="E682">
        <v>8.1999999999999993</v>
      </c>
      <c r="F682" t="s">
        <v>14</v>
      </c>
      <c r="G682" t="s">
        <v>459</v>
      </c>
      <c r="H682" t="s">
        <v>254</v>
      </c>
      <c r="I682">
        <v>45</v>
      </c>
      <c r="J682" t="s">
        <v>255</v>
      </c>
      <c r="K682" t="s">
        <v>34</v>
      </c>
    </row>
    <row r="683" spans="1:11" x14ac:dyDescent="0.5">
      <c r="A683" t="s">
        <v>1411</v>
      </c>
      <c r="B683" t="s">
        <v>1051</v>
      </c>
      <c r="C683" t="s">
        <v>1412</v>
      </c>
      <c r="D683" s="1">
        <v>4.4999999999999998E-2</v>
      </c>
      <c r="E683">
        <v>100</v>
      </c>
      <c r="F683" t="s">
        <v>651</v>
      </c>
      <c r="G683" t="s">
        <v>16</v>
      </c>
      <c r="H683" t="s">
        <v>506</v>
      </c>
      <c r="I683">
        <v>24.44</v>
      </c>
      <c r="J683" t="s">
        <v>652</v>
      </c>
      <c r="K683" t="s">
        <v>652</v>
      </c>
    </row>
    <row r="684" spans="1:11" x14ac:dyDescent="0.5">
      <c r="A684" t="s">
        <v>1413</v>
      </c>
      <c r="B684" t="s">
        <v>1051</v>
      </c>
      <c r="C684" t="s">
        <v>1414</v>
      </c>
      <c r="D684" s="1">
        <v>4.6199999999999998E-2</v>
      </c>
      <c r="E684">
        <v>51.2</v>
      </c>
      <c r="F684" t="s">
        <v>651</v>
      </c>
      <c r="G684" t="s">
        <v>15</v>
      </c>
      <c r="H684" t="s">
        <v>16</v>
      </c>
      <c r="I684">
        <v>67.11</v>
      </c>
      <c r="J684" t="s">
        <v>652</v>
      </c>
      <c r="K684" t="s">
        <v>652</v>
      </c>
    </row>
    <row r="685" spans="1:11" x14ac:dyDescent="0.5">
      <c r="A685" t="s">
        <v>1415</v>
      </c>
      <c r="B685" t="s">
        <v>1051</v>
      </c>
      <c r="C685" t="s">
        <v>1416</v>
      </c>
      <c r="D685" s="1">
        <v>3.3599999999999998E-2</v>
      </c>
      <c r="E685">
        <v>63.2</v>
      </c>
      <c r="F685" t="s">
        <v>651</v>
      </c>
      <c r="G685" t="s">
        <v>15</v>
      </c>
      <c r="H685" t="s">
        <v>16</v>
      </c>
      <c r="I685">
        <v>48.8</v>
      </c>
      <c r="J685" t="s">
        <v>652</v>
      </c>
      <c r="K685" t="s">
        <v>652</v>
      </c>
    </row>
    <row r="686" spans="1:11" x14ac:dyDescent="0.5">
      <c r="A686" t="s">
        <v>1417</v>
      </c>
      <c r="B686" t="s">
        <v>1051</v>
      </c>
      <c r="C686" t="s">
        <v>1418</v>
      </c>
      <c r="D686" s="1">
        <v>8.3299999999999999E-2</v>
      </c>
      <c r="E686">
        <v>59.5</v>
      </c>
      <c r="F686" t="s">
        <v>651</v>
      </c>
      <c r="G686" t="s">
        <v>15</v>
      </c>
      <c r="H686" t="s">
        <v>16</v>
      </c>
      <c r="I686">
        <v>50.71</v>
      </c>
      <c r="J686" t="s">
        <v>652</v>
      </c>
      <c r="K686" t="s">
        <v>652</v>
      </c>
    </row>
    <row r="687" spans="1:11" x14ac:dyDescent="0.5">
      <c r="A687" t="s">
        <v>1419</v>
      </c>
      <c r="B687" t="s">
        <v>1051</v>
      </c>
      <c r="C687" t="s">
        <v>1420</v>
      </c>
      <c r="D687" s="1">
        <v>7.4200000000000002E-2</v>
      </c>
      <c r="E687">
        <v>61.8</v>
      </c>
      <c r="F687" t="s">
        <v>651</v>
      </c>
      <c r="G687" t="s">
        <v>16</v>
      </c>
      <c r="H687" t="s">
        <v>16</v>
      </c>
      <c r="I687">
        <v>43.41</v>
      </c>
      <c r="J687" t="s">
        <v>652</v>
      </c>
      <c r="K687" t="s">
        <v>652</v>
      </c>
    </row>
    <row r="688" spans="1:11" x14ac:dyDescent="0.5">
      <c r="A688" t="s">
        <v>1421</v>
      </c>
      <c r="B688" t="s">
        <v>1051</v>
      </c>
      <c r="C688" t="s">
        <v>1422</v>
      </c>
      <c r="D688" s="1">
        <v>4.9000000000000002E-2</v>
      </c>
      <c r="E688">
        <v>54.2</v>
      </c>
      <c r="F688" t="s">
        <v>651</v>
      </c>
      <c r="G688" t="s">
        <v>15</v>
      </c>
      <c r="H688" t="s">
        <v>16</v>
      </c>
      <c r="I688">
        <v>52.79</v>
      </c>
      <c r="J688" t="s">
        <v>652</v>
      </c>
      <c r="K688" t="s">
        <v>652</v>
      </c>
    </row>
    <row r="689" spans="1:11" x14ac:dyDescent="0.5">
      <c r="A689" t="s">
        <v>1423</v>
      </c>
      <c r="B689" t="s">
        <v>1051</v>
      </c>
      <c r="C689" t="s">
        <v>1424</v>
      </c>
      <c r="D689" s="1">
        <v>1.2800000000000001E-2</v>
      </c>
      <c r="E689">
        <v>82.2</v>
      </c>
      <c r="F689" t="s">
        <v>651</v>
      </c>
      <c r="G689" t="s">
        <v>15</v>
      </c>
      <c r="H689" t="s">
        <v>16</v>
      </c>
      <c r="I689">
        <v>45.06</v>
      </c>
      <c r="J689" t="s">
        <v>652</v>
      </c>
      <c r="K689" t="s">
        <v>652</v>
      </c>
    </row>
    <row r="690" spans="1:11" x14ac:dyDescent="0.5">
      <c r="A690" t="s">
        <v>1425</v>
      </c>
      <c r="B690" t="s">
        <v>1051</v>
      </c>
      <c r="C690" t="s">
        <v>1426</v>
      </c>
      <c r="D690" s="1">
        <v>3.8999999999999998E-3</v>
      </c>
      <c r="E690">
        <v>90.5</v>
      </c>
      <c r="F690" t="s">
        <v>651</v>
      </c>
      <c r="G690" t="s">
        <v>15</v>
      </c>
      <c r="H690" t="s">
        <v>506</v>
      </c>
      <c r="I690">
        <v>31.63</v>
      </c>
      <c r="J690" t="s">
        <v>652</v>
      </c>
      <c r="K690" t="s">
        <v>652</v>
      </c>
    </row>
    <row r="691" spans="1:11" x14ac:dyDescent="0.5">
      <c r="A691" t="s">
        <v>1427</v>
      </c>
      <c r="B691" t="s">
        <v>1051</v>
      </c>
      <c r="C691" t="s">
        <v>1428</v>
      </c>
      <c r="D691" s="1">
        <v>4.9599999999999998E-2</v>
      </c>
      <c r="E691">
        <v>53.9</v>
      </c>
      <c r="F691" t="s">
        <v>651</v>
      </c>
      <c r="G691" t="s">
        <v>15</v>
      </c>
      <c r="H691" t="s">
        <v>16</v>
      </c>
      <c r="I691">
        <v>50.32</v>
      </c>
      <c r="J691" t="s">
        <v>652</v>
      </c>
      <c r="K691" t="s">
        <v>652</v>
      </c>
    </row>
    <row r="692" spans="1:11" x14ac:dyDescent="0.5">
      <c r="A692" t="s">
        <v>1429</v>
      </c>
      <c r="B692" t="s">
        <v>1051</v>
      </c>
      <c r="C692" t="s">
        <v>1430</v>
      </c>
      <c r="D692" s="1">
        <v>3.1300000000000001E-2</v>
      </c>
      <c r="E692">
        <v>78.2</v>
      </c>
      <c r="F692" t="s">
        <v>651</v>
      </c>
      <c r="G692" t="s">
        <v>15</v>
      </c>
      <c r="H692" t="s">
        <v>32</v>
      </c>
      <c r="I692">
        <v>16.25</v>
      </c>
      <c r="J692" t="s">
        <v>652</v>
      </c>
      <c r="K692" t="s">
        <v>652</v>
      </c>
    </row>
    <row r="693" spans="1:11" x14ac:dyDescent="0.5">
      <c r="A693" t="s">
        <v>1431</v>
      </c>
      <c r="B693" t="s">
        <v>1051</v>
      </c>
      <c r="C693" t="s">
        <v>1432</v>
      </c>
      <c r="D693" s="1">
        <v>3.5999999999999997E-2</v>
      </c>
      <c r="E693">
        <v>41.4</v>
      </c>
      <c r="F693" t="s">
        <v>651</v>
      </c>
      <c r="G693" t="s">
        <v>15</v>
      </c>
      <c r="H693" t="s">
        <v>16</v>
      </c>
      <c r="I693">
        <v>67.58</v>
      </c>
      <c r="J693" t="s">
        <v>652</v>
      </c>
      <c r="K693" t="s">
        <v>652</v>
      </c>
    </row>
    <row r="694" spans="1:11" x14ac:dyDescent="0.5">
      <c r="A694" t="s">
        <v>1433</v>
      </c>
      <c r="B694" t="s">
        <v>1051</v>
      </c>
      <c r="C694" t="s">
        <v>1434</v>
      </c>
      <c r="D694" s="1">
        <v>0.04</v>
      </c>
      <c r="E694">
        <v>43.7</v>
      </c>
      <c r="F694" t="s">
        <v>651</v>
      </c>
      <c r="G694" t="s">
        <v>15</v>
      </c>
      <c r="H694" t="s">
        <v>16</v>
      </c>
      <c r="I694">
        <v>64.150000000000006</v>
      </c>
      <c r="J694" t="s">
        <v>652</v>
      </c>
      <c r="K694" t="s">
        <v>652</v>
      </c>
    </row>
    <row r="695" spans="1:11" x14ac:dyDescent="0.5">
      <c r="A695" t="s">
        <v>1435</v>
      </c>
      <c r="B695" t="s">
        <v>1051</v>
      </c>
      <c r="C695" t="s">
        <v>1436</v>
      </c>
      <c r="D695" s="1">
        <v>2.5600000000000001E-2</v>
      </c>
      <c r="E695">
        <v>64</v>
      </c>
      <c r="F695" t="s">
        <v>651</v>
      </c>
      <c r="G695" t="s">
        <v>16</v>
      </c>
      <c r="H695" t="s">
        <v>16</v>
      </c>
      <c r="I695">
        <v>35.369999999999997</v>
      </c>
      <c r="J695" t="s">
        <v>652</v>
      </c>
      <c r="K695" t="s">
        <v>652</v>
      </c>
    </row>
    <row r="696" spans="1:11" x14ac:dyDescent="0.5">
      <c r="A696" t="s">
        <v>1437</v>
      </c>
      <c r="B696" t="s">
        <v>1051</v>
      </c>
      <c r="C696" t="s">
        <v>1438</v>
      </c>
      <c r="D696" s="1">
        <v>3.5400000000000001E-2</v>
      </c>
      <c r="E696">
        <v>40.700000000000003</v>
      </c>
      <c r="F696" t="s">
        <v>651</v>
      </c>
      <c r="G696" t="s">
        <v>15</v>
      </c>
      <c r="H696" t="s">
        <v>16</v>
      </c>
      <c r="I696">
        <v>67.62</v>
      </c>
      <c r="J696" t="s">
        <v>652</v>
      </c>
      <c r="K696" t="s">
        <v>652</v>
      </c>
    </row>
    <row r="697" spans="1:11" x14ac:dyDescent="0.5">
      <c r="A697" t="s">
        <v>1439</v>
      </c>
      <c r="B697" t="s">
        <v>1051</v>
      </c>
      <c r="C697" t="s">
        <v>1440</v>
      </c>
      <c r="D697" s="1">
        <v>3.5999999999999997E-2</v>
      </c>
      <c r="E697">
        <v>41.4</v>
      </c>
      <c r="F697" t="s">
        <v>651</v>
      </c>
      <c r="G697" t="s">
        <v>15</v>
      </c>
      <c r="H697" t="s">
        <v>16</v>
      </c>
      <c r="I697">
        <v>66.349999999999994</v>
      </c>
      <c r="J697" t="s">
        <v>652</v>
      </c>
      <c r="K697" t="s">
        <v>652</v>
      </c>
    </row>
    <row r="698" spans="1:11" x14ac:dyDescent="0.5">
      <c r="A698" t="s">
        <v>1441</v>
      </c>
      <c r="B698" t="s">
        <v>1051</v>
      </c>
      <c r="C698" t="s">
        <v>1442</v>
      </c>
      <c r="D698" s="1">
        <v>2.4E-2</v>
      </c>
      <c r="E698">
        <v>53.4</v>
      </c>
      <c r="F698" t="s">
        <v>651</v>
      </c>
      <c r="G698" t="s">
        <v>15</v>
      </c>
      <c r="H698" t="s">
        <v>16</v>
      </c>
      <c r="I698">
        <v>46.75</v>
      </c>
      <c r="J698" t="s">
        <v>652</v>
      </c>
      <c r="K698" t="s">
        <v>652</v>
      </c>
    </row>
    <row r="699" spans="1:11" x14ac:dyDescent="0.5">
      <c r="A699" t="s">
        <v>1443</v>
      </c>
      <c r="B699" t="s">
        <v>1051</v>
      </c>
      <c r="C699" t="s">
        <v>1444</v>
      </c>
      <c r="D699" s="1">
        <v>2.8500000000000001E-2</v>
      </c>
      <c r="E699">
        <v>42.6</v>
      </c>
      <c r="F699" t="s">
        <v>651</v>
      </c>
      <c r="G699" t="s">
        <v>15</v>
      </c>
      <c r="H699" t="s">
        <v>16</v>
      </c>
      <c r="I699">
        <v>61.57</v>
      </c>
      <c r="J699" t="s">
        <v>652</v>
      </c>
      <c r="K699" t="s">
        <v>652</v>
      </c>
    </row>
    <row r="700" spans="1:11" x14ac:dyDescent="0.5">
      <c r="A700" t="s">
        <v>1445</v>
      </c>
      <c r="B700" t="s">
        <v>1051</v>
      </c>
      <c r="C700" t="s">
        <v>1446</v>
      </c>
      <c r="D700" s="1">
        <v>2.7099999999999999E-2</v>
      </c>
      <c r="E700">
        <v>67.8</v>
      </c>
      <c r="F700" t="s">
        <v>651</v>
      </c>
      <c r="G700" t="s">
        <v>15</v>
      </c>
      <c r="H700" t="s">
        <v>16</v>
      </c>
      <c r="I700">
        <v>25.09</v>
      </c>
      <c r="J700" t="s">
        <v>652</v>
      </c>
      <c r="K700" t="s">
        <v>652</v>
      </c>
    </row>
    <row r="701" spans="1:11" x14ac:dyDescent="0.5">
      <c r="A701" t="s">
        <v>1447</v>
      </c>
      <c r="B701" t="s">
        <v>1051</v>
      </c>
      <c r="C701" t="s">
        <v>1448</v>
      </c>
      <c r="D701" s="1">
        <v>2.35E-2</v>
      </c>
      <c r="E701">
        <v>51.8</v>
      </c>
      <c r="F701" t="s">
        <v>651</v>
      </c>
      <c r="G701" t="s">
        <v>15</v>
      </c>
      <c r="H701" t="s">
        <v>16</v>
      </c>
      <c r="I701">
        <v>46.41</v>
      </c>
      <c r="J701" t="s">
        <v>652</v>
      </c>
      <c r="K701" t="s">
        <v>652</v>
      </c>
    </row>
    <row r="702" spans="1:11" x14ac:dyDescent="0.5">
      <c r="A702" t="s">
        <v>1449</v>
      </c>
      <c r="B702" t="s">
        <v>1051</v>
      </c>
      <c r="C702" t="s">
        <v>1450</v>
      </c>
      <c r="D702" s="1">
        <v>8.3500000000000005E-2</v>
      </c>
      <c r="E702">
        <v>47.4</v>
      </c>
      <c r="F702" t="s">
        <v>651</v>
      </c>
      <c r="G702" t="s">
        <v>15</v>
      </c>
      <c r="H702" t="s">
        <v>16</v>
      </c>
      <c r="I702">
        <v>51.96</v>
      </c>
      <c r="J702" t="s">
        <v>652</v>
      </c>
      <c r="K702" t="s">
        <v>652</v>
      </c>
    </row>
    <row r="703" spans="1:11" x14ac:dyDescent="0.5">
      <c r="A703" t="s">
        <v>1451</v>
      </c>
      <c r="B703" t="s">
        <v>1051</v>
      </c>
      <c r="C703" t="s">
        <v>1452</v>
      </c>
      <c r="D703" s="1">
        <v>2.8000000000000001E-2</v>
      </c>
      <c r="E703">
        <v>34.299999999999997</v>
      </c>
      <c r="F703" t="s">
        <v>651</v>
      </c>
      <c r="G703" t="s">
        <v>15</v>
      </c>
      <c r="H703" t="s">
        <v>16</v>
      </c>
      <c r="I703">
        <v>70.239999999999995</v>
      </c>
      <c r="J703" t="s">
        <v>652</v>
      </c>
      <c r="K703" t="s">
        <v>652</v>
      </c>
    </row>
    <row r="704" spans="1:11" x14ac:dyDescent="0.5">
      <c r="A704" t="s">
        <v>1453</v>
      </c>
      <c r="B704" t="s">
        <v>1051</v>
      </c>
      <c r="C704" t="s">
        <v>1454</v>
      </c>
      <c r="D704" s="1">
        <v>5.9200000000000003E-2</v>
      </c>
      <c r="E704">
        <v>35.200000000000003</v>
      </c>
      <c r="F704" t="s">
        <v>651</v>
      </c>
      <c r="G704" t="s">
        <v>15</v>
      </c>
      <c r="H704" t="s">
        <v>16</v>
      </c>
      <c r="I704">
        <v>65.36</v>
      </c>
      <c r="J704" t="s">
        <v>652</v>
      </c>
      <c r="K704" t="s">
        <v>652</v>
      </c>
    </row>
    <row r="705" spans="1:11" x14ac:dyDescent="0.5">
      <c r="A705" t="s">
        <v>1455</v>
      </c>
      <c r="B705" t="s">
        <v>1051</v>
      </c>
      <c r="C705" t="s">
        <v>1456</v>
      </c>
      <c r="D705" s="1">
        <v>2.6499999999999999E-2</v>
      </c>
      <c r="E705">
        <v>66.2</v>
      </c>
      <c r="F705" t="s">
        <v>651</v>
      </c>
      <c r="G705" t="s">
        <v>16</v>
      </c>
      <c r="H705" t="s">
        <v>16</v>
      </c>
      <c r="I705">
        <v>21.94</v>
      </c>
      <c r="J705" t="s">
        <v>652</v>
      </c>
      <c r="K705" t="s">
        <v>652</v>
      </c>
    </row>
    <row r="706" spans="1:11" x14ac:dyDescent="0.5">
      <c r="A706" t="s">
        <v>1457</v>
      </c>
      <c r="B706" t="s">
        <v>1051</v>
      </c>
      <c r="C706" t="s">
        <v>1458</v>
      </c>
      <c r="D706" s="1">
        <v>4.8399999999999999E-2</v>
      </c>
      <c r="E706">
        <v>49.8</v>
      </c>
      <c r="F706" t="s">
        <v>651</v>
      </c>
      <c r="G706" t="s">
        <v>16</v>
      </c>
      <c r="H706" t="s">
        <v>16</v>
      </c>
      <c r="I706">
        <v>44.38</v>
      </c>
      <c r="J706" t="s">
        <v>652</v>
      </c>
      <c r="K706" t="s">
        <v>652</v>
      </c>
    </row>
    <row r="707" spans="1:11" x14ac:dyDescent="0.5">
      <c r="A707" t="s">
        <v>1459</v>
      </c>
      <c r="B707" t="s">
        <v>1051</v>
      </c>
      <c r="C707" t="s">
        <v>1460</v>
      </c>
      <c r="D707" s="1">
        <v>7.5700000000000003E-2</v>
      </c>
      <c r="E707">
        <v>60.2</v>
      </c>
      <c r="F707" t="s">
        <v>651</v>
      </c>
      <c r="G707" t="s">
        <v>15</v>
      </c>
      <c r="H707" t="s">
        <v>506</v>
      </c>
      <c r="I707">
        <v>29.26</v>
      </c>
      <c r="J707" t="s">
        <v>652</v>
      </c>
      <c r="K707" t="s">
        <v>652</v>
      </c>
    </row>
    <row r="708" spans="1:11" x14ac:dyDescent="0.5">
      <c r="A708" t="s">
        <v>1461</v>
      </c>
      <c r="B708" t="s">
        <v>1051</v>
      </c>
      <c r="C708" t="s">
        <v>1462</v>
      </c>
      <c r="D708" s="1">
        <v>2.06E-2</v>
      </c>
      <c r="E708">
        <v>51.5</v>
      </c>
      <c r="F708" t="s">
        <v>651</v>
      </c>
      <c r="G708" t="s">
        <v>16</v>
      </c>
      <c r="H708" t="s">
        <v>16</v>
      </c>
      <c r="I708">
        <v>41.1</v>
      </c>
      <c r="J708" t="s">
        <v>652</v>
      </c>
      <c r="K708" t="s">
        <v>652</v>
      </c>
    </row>
    <row r="709" spans="1:11" x14ac:dyDescent="0.5">
      <c r="A709" t="s">
        <v>1463</v>
      </c>
      <c r="B709" t="s">
        <v>1051</v>
      </c>
      <c r="C709" t="s">
        <v>1464</v>
      </c>
      <c r="D709" s="1">
        <v>2.1899999999999999E-2</v>
      </c>
      <c r="E709">
        <v>36.299999999999997</v>
      </c>
      <c r="F709" t="s">
        <v>651</v>
      </c>
      <c r="G709" t="s">
        <v>15</v>
      </c>
      <c r="H709" t="s">
        <v>16</v>
      </c>
      <c r="I709">
        <v>62.34</v>
      </c>
      <c r="J709" t="s">
        <v>652</v>
      </c>
      <c r="K709" t="s">
        <v>652</v>
      </c>
    </row>
    <row r="710" spans="1:11" x14ac:dyDescent="0.5">
      <c r="A710" t="s">
        <v>1465</v>
      </c>
      <c r="B710" t="s">
        <v>1051</v>
      </c>
      <c r="C710" t="s">
        <v>1466</v>
      </c>
      <c r="D710" s="1">
        <v>0.1837</v>
      </c>
      <c r="E710">
        <v>52.5</v>
      </c>
      <c r="F710" t="s">
        <v>651</v>
      </c>
      <c r="G710" t="s">
        <v>16</v>
      </c>
      <c r="H710" t="s">
        <v>16</v>
      </c>
      <c r="I710">
        <v>39.61</v>
      </c>
      <c r="J710" t="s">
        <v>652</v>
      </c>
      <c r="K710" t="s">
        <v>652</v>
      </c>
    </row>
    <row r="711" spans="1:11" x14ac:dyDescent="0.5">
      <c r="A711" t="s">
        <v>1467</v>
      </c>
      <c r="B711" t="s">
        <v>1051</v>
      </c>
      <c r="C711" t="s">
        <v>1468</v>
      </c>
      <c r="D711" s="1">
        <v>2.2100000000000002E-2</v>
      </c>
      <c r="E711">
        <v>55.2</v>
      </c>
      <c r="F711" t="s">
        <v>651</v>
      </c>
      <c r="G711" t="s">
        <v>16</v>
      </c>
      <c r="H711" t="s">
        <v>16</v>
      </c>
      <c r="I711">
        <v>35.36</v>
      </c>
      <c r="J711" t="s">
        <v>652</v>
      </c>
      <c r="K711" t="s">
        <v>652</v>
      </c>
    </row>
    <row r="712" spans="1:11" x14ac:dyDescent="0.5">
      <c r="A712" t="s">
        <v>1469</v>
      </c>
      <c r="B712" t="s">
        <v>1051</v>
      </c>
      <c r="C712" t="s">
        <v>1470</v>
      </c>
      <c r="D712" s="1">
        <v>3.2000000000000001E-2</v>
      </c>
      <c r="E712">
        <v>32.6</v>
      </c>
      <c r="F712" t="s">
        <v>651</v>
      </c>
      <c r="G712" t="s">
        <v>15</v>
      </c>
      <c r="H712" t="s">
        <v>16</v>
      </c>
      <c r="I712">
        <v>66.91</v>
      </c>
      <c r="J712" t="s">
        <v>652</v>
      </c>
      <c r="K712" t="s">
        <v>652</v>
      </c>
    </row>
    <row r="713" spans="1:11" x14ac:dyDescent="0.5">
      <c r="A713" t="s">
        <v>1471</v>
      </c>
      <c r="B713" t="s">
        <v>1051</v>
      </c>
      <c r="C713" t="s">
        <v>1472</v>
      </c>
      <c r="D713" s="1">
        <v>3.2000000000000002E-3</v>
      </c>
      <c r="E713">
        <v>78.900000000000006</v>
      </c>
      <c r="F713" t="s">
        <v>651</v>
      </c>
      <c r="G713" t="s">
        <v>15</v>
      </c>
      <c r="H713" t="s">
        <v>32</v>
      </c>
      <c r="I713">
        <v>32.71</v>
      </c>
      <c r="J713" t="s">
        <v>652</v>
      </c>
      <c r="K713" t="s">
        <v>652</v>
      </c>
    </row>
    <row r="714" spans="1:11" x14ac:dyDescent="0.5">
      <c r="A714" t="s">
        <v>1473</v>
      </c>
      <c r="B714" t="s">
        <v>1051</v>
      </c>
      <c r="C714" t="s">
        <v>1474</v>
      </c>
      <c r="D714" s="1">
        <v>4.1099999999999998E-2</v>
      </c>
      <c r="E714">
        <v>49</v>
      </c>
      <c r="F714" t="s">
        <v>651</v>
      </c>
      <c r="G714" t="s">
        <v>16</v>
      </c>
      <c r="H714" t="s">
        <v>16</v>
      </c>
      <c r="I714">
        <v>42.52</v>
      </c>
      <c r="J714" t="s">
        <v>652</v>
      </c>
      <c r="K714" t="s">
        <v>652</v>
      </c>
    </row>
    <row r="715" spans="1:11" x14ac:dyDescent="0.5">
      <c r="A715" t="s">
        <v>1475</v>
      </c>
      <c r="B715" t="s">
        <v>1051</v>
      </c>
      <c r="C715" t="s">
        <v>1476</v>
      </c>
      <c r="D715" s="1">
        <v>0.1208</v>
      </c>
      <c r="E715">
        <v>48.7</v>
      </c>
      <c r="F715" t="s">
        <v>651</v>
      </c>
      <c r="G715" t="s">
        <v>16</v>
      </c>
      <c r="H715" t="s">
        <v>16</v>
      </c>
      <c r="I715">
        <v>42.67</v>
      </c>
      <c r="J715" t="s">
        <v>652</v>
      </c>
      <c r="K715" t="s">
        <v>652</v>
      </c>
    </row>
    <row r="716" spans="1:11" x14ac:dyDescent="0.5">
      <c r="A716" t="s">
        <v>1477</v>
      </c>
      <c r="B716" t="s">
        <v>1051</v>
      </c>
      <c r="C716" t="s">
        <v>1478</v>
      </c>
      <c r="D716" s="1">
        <v>2.8999999999999998E-3</v>
      </c>
      <c r="E716">
        <v>77.7</v>
      </c>
      <c r="F716" t="s">
        <v>651</v>
      </c>
      <c r="G716" t="s">
        <v>15</v>
      </c>
      <c r="H716" t="s">
        <v>32</v>
      </c>
      <c r="I716">
        <v>33.409999999999997</v>
      </c>
      <c r="J716" t="s">
        <v>652</v>
      </c>
      <c r="K716" t="s">
        <v>652</v>
      </c>
    </row>
    <row r="717" spans="1:11" x14ac:dyDescent="0.5">
      <c r="A717" t="s">
        <v>1479</v>
      </c>
      <c r="B717" t="s">
        <v>1051</v>
      </c>
      <c r="C717" t="s">
        <v>1480</v>
      </c>
      <c r="D717" s="1">
        <v>4.0000000000000002E-4</v>
      </c>
      <c r="E717">
        <v>76.3</v>
      </c>
      <c r="F717" t="s">
        <v>651</v>
      </c>
      <c r="G717" t="s">
        <v>15</v>
      </c>
      <c r="H717" t="s">
        <v>32</v>
      </c>
      <c r="I717">
        <v>34.78</v>
      </c>
      <c r="J717" t="s">
        <v>652</v>
      </c>
      <c r="K717" t="s">
        <v>652</v>
      </c>
    </row>
    <row r="718" spans="1:11" x14ac:dyDescent="0.5">
      <c r="A718" t="s">
        <v>1481</v>
      </c>
      <c r="B718" t="s">
        <v>1051</v>
      </c>
      <c r="C718" t="s">
        <v>1482</v>
      </c>
      <c r="D718" s="1">
        <v>1.1000000000000001E-3</v>
      </c>
      <c r="E718">
        <v>76.400000000000006</v>
      </c>
      <c r="F718" t="s">
        <v>651</v>
      </c>
      <c r="G718" t="s">
        <v>15</v>
      </c>
      <c r="H718" t="s">
        <v>32</v>
      </c>
      <c r="I718">
        <v>34.479999999999997</v>
      </c>
      <c r="J718" t="s">
        <v>652</v>
      </c>
      <c r="K718" t="s">
        <v>652</v>
      </c>
    </row>
    <row r="719" spans="1:11" x14ac:dyDescent="0.5">
      <c r="A719" t="s">
        <v>1483</v>
      </c>
      <c r="B719" t="s">
        <v>1051</v>
      </c>
      <c r="C719" t="s">
        <v>1484</v>
      </c>
      <c r="D719" s="1">
        <v>2.4E-2</v>
      </c>
      <c r="E719">
        <v>33.799999999999997</v>
      </c>
      <c r="F719" t="s">
        <v>651</v>
      </c>
      <c r="G719" t="s">
        <v>15</v>
      </c>
      <c r="H719" t="s">
        <v>16</v>
      </c>
      <c r="I719">
        <v>62.07</v>
      </c>
      <c r="J719" t="s">
        <v>652</v>
      </c>
      <c r="K719" t="s">
        <v>652</v>
      </c>
    </row>
    <row r="720" spans="1:11" x14ac:dyDescent="0.5">
      <c r="A720" t="s">
        <v>1485</v>
      </c>
      <c r="B720" t="s">
        <v>1051</v>
      </c>
      <c r="C720" t="s">
        <v>1486</v>
      </c>
      <c r="D720" s="1">
        <v>2.58E-2</v>
      </c>
      <c r="E720">
        <v>33.799999999999997</v>
      </c>
      <c r="F720" t="s">
        <v>651</v>
      </c>
      <c r="G720" t="s">
        <v>15</v>
      </c>
      <c r="H720" t="s">
        <v>16</v>
      </c>
      <c r="I720">
        <v>62.03</v>
      </c>
      <c r="J720" t="s">
        <v>652</v>
      </c>
      <c r="K720" t="s">
        <v>652</v>
      </c>
    </row>
    <row r="721" spans="1:11" x14ac:dyDescent="0.5">
      <c r="A721" t="s">
        <v>1487</v>
      </c>
      <c r="B721" t="s">
        <v>1051</v>
      </c>
      <c r="C721" t="s">
        <v>1488</v>
      </c>
      <c r="D721" s="1">
        <v>2.2200000000000001E-2</v>
      </c>
      <c r="E721">
        <v>41.6</v>
      </c>
      <c r="F721" t="s">
        <v>651</v>
      </c>
      <c r="G721" t="s">
        <v>15</v>
      </c>
      <c r="H721" t="s">
        <v>16</v>
      </c>
      <c r="I721">
        <v>50.64</v>
      </c>
      <c r="J721" t="s">
        <v>652</v>
      </c>
      <c r="K721" t="s">
        <v>652</v>
      </c>
    </row>
    <row r="722" spans="1:11" x14ac:dyDescent="0.5">
      <c r="A722" t="s">
        <v>1489</v>
      </c>
      <c r="B722" t="s">
        <v>1051</v>
      </c>
      <c r="C722" t="s">
        <v>1490</v>
      </c>
      <c r="D722" s="1">
        <v>2.2800000000000001E-2</v>
      </c>
      <c r="E722">
        <v>57</v>
      </c>
      <c r="F722" t="s">
        <v>651</v>
      </c>
      <c r="G722" t="s">
        <v>16</v>
      </c>
      <c r="H722" t="s">
        <v>16</v>
      </c>
      <c r="I722">
        <v>28.09</v>
      </c>
      <c r="J722" t="s">
        <v>652</v>
      </c>
      <c r="K722" t="s">
        <v>652</v>
      </c>
    </row>
    <row r="723" spans="1:11" x14ac:dyDescent="0.5">
      <c r="A723" t="s">
        <v>1491</v>
      </c>
      <c r="B723" t="s">
        <v>1051</v>
      </c>
      <c r="C723" t="s">
        <v>1492</v>
      </c>
      <c r="D723" s="1">
        <v>2.75E-2</v>
      </c>
      <c r="E723">
        <v>21.8</v>
      </c>
      <c r="F723" t="s">
        <v>651</v>
      </c>
      <c r="G723" t="s">
        <v>15</v>
      </c>
      <c r="H723" t="s">
        <v>16</v>
      </c>
      <c r="I723">
        <v>74.64</v>
      </c>
      <c r="J723" t="s">
        <v>652</v>
      </c>
      <c r="K723" t="s">
        <v>652</v>
      </c>
    </row>
    <row r="724" spans="1:11" x14ac:dyDescent="0.5">
      <c r="A724" t="s">
        <v>1493</v>
      </c>
      <c r="B724" t="s">
        <v>1051</v>
      </c>
      <c r="C724" t="s">
        <v>1494</v>
      </c>
      <c r="D724" s="1">
        <v>4.1000000000000002E-2</v>
      </c>
      <c r="E724">
        <v>25.4</v>
      </c>
      <c r="F724" t="s">
        <v>651</v>
      </c>
      <c r="G724" t="s">
        <v>15</v>
      </c>
      <c r="H724" t="s">
        <v>16</v>
      </c>
      <c r="I724">
        <v>69.58</v>
      </c>
      <c r="J724" t="s">
        <v>652</v>
      </c>
      <c r="K724" t="s">
        <v>652</v>
      </c>
    </row>
    <row r="725" spans="1:11" x14ac:dyDescent="0.5">
      <c r="A725" t="s">
        <v>1495</v>
      </c>
      <c r="B725" t="s">
        <v>1051</v>
      </c>
      <c r="C725" t="s">
        <v>1496</v>
      </c>
      <c r="D725" s="1">
        <v>7.7000000000000002E-3</v>
      </c>
      <c r="E725">
        <v>75.8</v>
      </c>
      <c r="F725" t="s">
        <v>651</v>
      </c>
      <c r="G725" t="s">
        <v>16</v>
      </c>
      <c r="H725" t="s">
        <v>32</v>
      </c>
      <c r="I725">
        <v>30.47</v>
      </c>
      <c r="J725" t="s">
        <v>652</v>
      </c>
      <c r="K725" t="s">
        <v>652</v>
      </c>
    </row>
    <row r="726" spans="1:11" x14ac:dyDescent="0.5">
      <c r="A726" t="s">
        <v>1497</v>
      </c>
      <c r="B726" t="s">
        <v>1051</v>
      </c>
      <c r="C726" t="s">
        <v>1498</v>
      </c>
      <c r="D726" s="1">
        <v>6.7100000000000007E-2</v>
      </c>
      <c r="E726">
        <v>26.7</v>
      </c>
      <c r="F726" t="s">
        <v>651</v>
      </c>
      <c r="G726" t="s">
        <v>15</v>
      </c>
      <c r="H726" t="s">
        <v>16</v>
      </c>
      <c r="I726">
        <v>65.86</v>
      </c>
      <c r="J726" t="s">
        <v>652</v>
      </c>
      <c r="K726" t="s">
        <v>652</v>
      </c>
    </row>
    <row r="727" spans="1:11" x14ac:dyDescent="0.5">
      <c r="A727" t="s">
        <v>1499</v>
      </c>
      <c r="B727" t="s">
        <v>1051</v>
      </c>
      <c r="C727" t="s">
        <v>1500</v>
      </c>
      <c r="D727" s="1">
        <v>3.7900000000000003E-2</v>
      </c>
      <c r="E727">
        <v>25.2</v>
      </c>
      <c r="F727" t="s">
        <v>651</v>
      </c>
      <c r="G727" t="s">
        <v>15</v>
      </c>
      <c r="H727" t="s">
        <v>16</v>
      </c>
      <c r="I727">
        <v>67.650000000000006</v>
      </c>
      <c r="J727" t="s">
        <v>652</v>
      </c>
      <c r="K727" t="s">
        <v>652</v>
      </c>
    </row>
    <row r="728" spans="1:11" x14ac:dyDescent="0.5">
      <c r="A728" t="s">
        <v>1501</v>
      </c>
      <c r="B728" t="s">
        <v>1051</v>
      </c>
      <c r="C728" t="s">
        <v>1502</v>
      </c>
      <c r="D728" s="1">
        <v>3.8300000000000001E-2</v>
      </c>
      <c r="E728">
        <v>25.2</v>
      </c>
      <c r="F728" t="s">
        <v>651</v>
      </c>
      <c r="G728" t="s">
        <v>15</v>
      </c>
      <c r="H728" t="s">
        <v>16</v>
      </c>
      <c r="I728">
        <v>67.569999999999993</v>
      </c>
      <c r="J728" t="s">
        <v>652</v>
      </c>
      <c r="K728" t="s">
        <v>652</v>
      </c>
    </row>
    <row r="729" spans="1:11" x14ac:dyDescent="0.5">
      <c r="A729" t="s">
        <v>1503</v>
      </c>
      <c r="B729" t="s">
        <v>1051</v>
      </c>
      <c r="C729" t="s">
        <v>1504</v>
      </c>
      <c r="D729" s="1">
        <v>3.7600000000000001E-2</v>
      </c>
      <c r="E729">
        <v>25</v>
      </c>
      <c r="F729" t="s">
        <v>651</v>
      </c>
      <c r="G729" t="s">
        <v>15</v>
      </c>
      <c r="H729" t="s">
        <v>16</v>
      </c>
      <c r="I729">
        <v>67.650000000000006</v>
      </c>
      <c r="J729" t="s">
        <v>652</v>
      </c>
      <c r="K729" t="s">
        <v>652</v>
      </c>
    </row>
    <row r="730" spans="1:11" x14ac:dyDescent="0.5">
      <c r="A730" t="s">
        <v>1505</v>
      </c>
      <c r="B730" t="s">
        <v>1051</v>
      </c>
      <c r="C730" t="s">
        <v>1506</v>
      </c>
      <c r="D730" s="1">
        <v>3.7100000000000001E-2</v>
      </c>
      <c r="E730">
        <v>24.9</v>
      </c>
      <c r="F730" t="s">
        <v>651</v>
      </c>
      <c r="G730" t="s">
        <v>15</v>
      </c>
      <c r="H730" t="s">
        <v>16</v>
      </c>
      <c r="I730">
        <v>67.650000000000006</v>
      </c>
      <c r="J730" t="s">
        <v>652</v>
      </c>
      <c r="K730" t="s">
        <v>652</v>
      </c>
    </row>
    <row r="731" spans="1:11" x14ac:dyDescent="0.5">
      <c r="A731" t="s">
        <v>1507</v>
      </c>
      <c r="B731" t="s">
        <v>1051</v>
      </c>
      <c r="C731" t="s">
        <v>1508</v>
      </c>
      <c r="D731" s="1">
        <v>3.8100000000000002E-2</v>
      </c>
      <c r="E731">
        <v>25.1</v>
      </c>
      <c r="F731" t="s">
        <v>651</v>
      </c>
      <c r="G731" t="s">
        <v>15</v>
      </c>
      <c r="H731" t="s">
        <v>16</v>
      </c>
      <c r="I731">
        <v>66.39</v>
      </c>
      <c r="J731" t="s">
        <v>652</v>
      </c>
      <c r="K731" t="s">
        <v>652</v>
      </c>
    </row>
    <row r="732" spans="1:11" x14ac:dyDescent="0.5">
      <c r="A732" t="s">
        <v>1509</v>
      </c>
      <c r="B732" t="s">
        <v>1051</v>
      </c>
      <c r="C732" t="s">
        <v>1510</v>
      </c>
      <c r="D732" s="1">
        <v>0.1129</v>
      </c>
      <c r="E732">
        <v>41.2</v>
      </c>
      <c r="F732" t="s">
        <v>651</v>
      </c>
      <c r="G732" t="s">
        <v>16</v>
      </c>
      <c r="H732" t="s">
        <v>16</v>
      </c>
      <c r="I732">
        <v>43.8</v>
      </c>
      <c r="J732" t="s">
        <v>652</v>
      </c>
      <c r="K732" t="s">
        <v>652</v>
      </c>
    </row>
    <row r="733" spans="1:11" x14ac:dyDescent="0.5">
      <c r="A733" t="s">
        <v>1511</v>
      </c>
      <c r="B733" t="s">
        <v>1051</v>
      </c>
      <c r="C733" t="s">
        <v>1512</v>
      </c>
      <c r="D733" s="1">
        <v>3.78E-2</v>
      </c>
      <c r="E733">
        <v>25</v>
      </c>
      <c r="F733" t="s">
        <v>651</v>
      </c>
      <c r="G733" t="s">
        <v>15</v>
      </c>
      <c r="H733" t="s">
        <v>16</v>
      </c>
      <c r="I733">
        <v>66.42</v>
      </c>
      <c r="J733" t="s">
        <v>652</v>
      </c>
      <c r="K733" t="s">
        <v>652</v>
      </c>
    </row>
    <row r="734" spans="1:11" x14ac:dyDescent="0.5">
      <c r="A734" t="s">
        <v>1513</v>
      </c>
      <c r="B734" t="s">
        <v>1051</v>
      </c>
      <c r="C734" t="s">
        <v>1514</v>
      </c>
      <c r="D734" s="1">
        <v>3.6900000000000002E-2</v>
      </c>
      <c r="E734">
        <v>24.9</v>
      </c>
      <c r="F734" t="s">
        <v>651</v>
      </c>
      <c r="G734" t="s">
        <v>15</v>
      </c>
      <c r="H734" t="s">
        <v>16</v>
      </c>
      <c r="I734">
        <v>66.42</v>
      </c>
      <c r="J734" t="s">
        <v>652</v>
      </c>
      <c r="K734" t="s">
        <v>652</v>
      </c>
    </row>
    <row r="735" spans="1:11" x14ac:dyDescent="0.5">
      <c r="A735" t="s">
        <v>1515</v>
      </c>
      <c r="B735" t="s">
        <v>1051</v>
      </c>
      <c r="C735" t="s">
        <v>1516</v>
      </c>
      <c r="D735" s="1">
        <v>3.9100000000000003E-2</v>
      </c>
      <c r="E735">
        <v>24.8</v>
      </c>
      <c r="F735" t="s">
        <v>651</v>
      </c>
      <c r="G735" t="s">
        <v>15</v>
      </c>
      <c r="H735" t="s">
        <v>16</v>
      </c>
      <c r="I735">
        <v>66.28</v>
      </c>
      <c r="J735" t="s">
        <v>652</v>
      </c>
      <c r="K735" t="s">
        <v>652</v>
      </c>
    </row>
    <row r="736" spans="1:11" x14ac:dyDescent="0.5">
      <c r="A736" t="s">
        <v>1517</v>
      </c>
      <c r="B736" t="s">
        <v>1051</v>
      </c>
      <c r="C736" t="s">
        <v>1518</v>
      </c>
      <c r="D736" s="1">
        <v>2.98E-2</v>
      </c>
      <c r="E736">
        <v>43.8</v>
      </c>
      <c r="F736" t="s">
        <v>651</v>
      </c>
      <c r="G736" t="s">
        <v>16</v>
      </c>
      <c r="H736" t="s">
        <v>16</v>
      </c>
      <c r="I736">
        <v>39.49</v>
      </c>
      <c r="J736" t="s">
        <v>652</v>
      </c>
      <c r="K736" t="s">
        <v>652</v>
      </c>
    </row>
    <row r="737" spans="1:11" x14ac:dyDescent="0.5">
      <c r="A737" t="s">
        <v>1519</v>
      </c>
      <c r="B737" t="s">
        <v>1051</v>
      </c>
      <c r="C737" t="s">
        <v>1520</v>
      </c>
      <c r="D737" s="1">
        <v>2.5100000000000001E-2</v>
      </c>
      <c r="E737">
        <v>19.7</v>
      </c>
      <c r="F737" t="s">
        <v>651</v>
      </c>
      <c r="G737" t="s">
        <v>15</v>
      </c>
      <c r="H737" t="s">
        <v>16</v>
      </c>
      <c r="I737">
        <v>73.2</v>
      </c>
      <c r="J737" t="s">
        <v>652</v>
      </c>
      <c r="K737" t="s">
        <v>652</v>
      </c>
    </row>
    <row r="738" spans="1:11" x14ac:dyDescent="0.5">
      <c r="A738" t="s">
        <v>1521</v>
      </c>
      <c r="B738" t="s">
        <v>1051</v>
      </c>
      <c r="C738" t="s">
        <v>1522</v>
      </c>
      <c r="D738" s="1">
        <v>2.2200000000000001E-2</v>
      </c>
      <c r="E738">
        <v>55.5</v>
      </c>
      <c r="F738" t="s">
        <v>651</v>
      </c>
      <c r="G738" t="s">
        <v>16</v>
      </c>
      <c r="H738" t="s">
        <v>32</v>
      </c>
      <c r="I738">
        <v>22.57</v>
      </c>
      <c r="J738" t="s">
        <v>652</v>
      </c>
      <c r="K738" t="s">
        <v>652</v>
      </c>
    </row>
    <row r="739" spans="1:11" x14ac:dyDescent="0.5">
      <c r="A739" t="s">
        <v>1523</v>
      </c>
      <c r="B739" t="s">
        <v>1051</v>
      </c>
      <c r="C739" t="s">
        <v>1524</v>
      </c>
      <c r="D739" s="1">
        <v>4.0300000000000002E-2</v>
      </c>
      <c r="E739">
        <v>35</v>
      </c>
      <c r="F739" t="s">
        <v>651</v>
      </c>
      <c r="G739" t="s">
        <v>15</v>
      </c>
      <c r="H739" t="s">
        <v>16</v>
      </c>
      <c r="I739">
        <v>51.19</v>
      </c>
      <c r="J739" t="s">
        <v>652</v>
      </c>
      <c r="K739" t="s">
        <v>652</v>
      </c>
    </row>
    <row r="740" spans="1:11" x14ac:dyDescent="0.5">
      <c r="A740" t="s">
        <v>1525</v>
      </c>
      <c r="B740" t="s">
        <v>1051</v>
      </c>
      <c r="C740" t="s">
        <v>1526</v>
      </c>
      <c r="D740" s="1">
        <v>2.52E-2</v>
      </c>
      <c r="E740">
        <v>35.9</v>
      </c>
      <c r="F740" t="s">
        <v>651</v>
      </c>
      <c r="G740" t="s">
        <v>15</v>
      </c>
      <c r="H740" t="s">
        <v>16</v>
      </c>
      <c r="I740">
        <v>49.63</v>
      </c>
      <c r="J740" t="s">
        <v>652</v>
      </c>
      <c r="K740" t="s">
        <v>652</v>
      </c>
    </row>
    <row r="741" spans="1:11" x14ac:dyDescent="0.5">
      <c r="A741" t="s">
        <v>1527</v>
      </c>
      <c r="B741" t="s">
        <v>1051</v>
      </c>
      <c r="C741" t="s">
        <v>1528</v>
      </c>
      <c r="D741" s="1">
        <v>0.1012</v>
      </c>
      <c r="E741">
        <v>54.8</v>
      </c>
      <c r="F741" t="s">
        <v>651</v>
      </c>
      <c r="G741" t="s">
        <v>15</v>
      </c>
      <c r="H741" t="s">
        <v>506</v>
      </c>
      <c r="I741">
        <v>22.9</v>
      </c>
      <c r="J741" t="s">
        <v>652</v>
      </c>
      <c r="K741" t="s">
        <v>652</v>
      </c>
    </row>
    <row r="742" spans="1:11" x14ac:dyDescent="0.5">
      <c r="A742" t="s">
        <v>1529</v>
      </c>
      <c r="B742" t="s">
        <v>1051</v>
      </c>
      <c r="C742" t="s">
        <v>1530</v>
      </c>
      <c r="D742" s="1">
        <v>7.3000000000000001E-3</v>
      </c>
      <c r="E742">
        <v>68.8</v>
      </c>
      <c r="F742" t="s">
        <v>651</v>
      </c>
      <c r="G742" t="s">
        <v>15</v>
      </c>
      <c r="H742" t="s">
        <v>32</v>
      </c>
      <c r="I742">
        <v>35.04</v>
      </c>
      <c r="J742" t="s">
        <v>652</v>
      </c>
      <c r="K742" t="s">
        <v>652</v>
      </c>
    </row>
    <row r="743" spans="1:11" x14ac:dyDescent="0.5">
      <c r="A743" t="s">
        <v>1531</v>
      </c>
      <c r="B743" t="s">
        <v>1051</v>
      </c>
      <c r="C743" t="s">
        <v>1532</v>
      </c>
      <c r="D743" s="1">
        <v>1.52E-2</v>
      </c>
      <c r="E743">
        <v>41.5</v>
      </c>
      <c r="F743" t="s">
        <v>651</v>
      </c>
      <c r="G743" t="s">
        <v>15</v>
      </c>
      <c r="H743" t="s">
        <v>16</v>
      </c>
      <c r="I743">
        <v>72.97</v>
      </c>
      <c r="J743" t="s">
        <v>652</v>
      </c>
      <c r="K743" t="s">
        <v>652</v>
      </c>
    </row>
    <row r="744" spans="1:11" x14ac:dyDescent="0.5">
      <c r="A744" t="s">
        <v>1533</v>
      </c>
      <c r="B744" t="s">
        <v>1051</v>
      </c>
      <c r="C744" t="s">
        <v>1534</v>
      </c>
      <c r="D744" s="1">
        <v>1.6000000000000001E-3</v>
      </c>
      <c r="E744">
        <v>69.5</v>
      </c>
      <c r="F744" t="s">
        <v>651</v>
      </c>
      <c r="G744" t="s">
        <v>15</v>
      </c>
      <c r="H744" t="s">
        <v>32</v>
      </c>
      <c r="I744">
        <v>33.68</v>
      </c>
      <c r="J744" t="s">
        <v>652</v>
      </c>
      <c r="K744" t="s">
        <v>652</v>
      </c>
    </row>
    <row r="745" spans="1:11" x14ac:dyDescent="0.5">
      <c r="A745" t="s">
        <v>1535</v>
      </c>
      <c r="B745" t="s">
        <v>1051</v>
      </c>
      <c r="C745" t="s">
        <v>1536</v>
      </c>
      <c r="D745" s="1">
        <v>1.47E-2</v>
      </c>
      <c r="E745">
        <v>62.7</v>
      </c>
      <c r="F745" t="s">
        <v>651</v>
      </c>
      <c r="G745" t="s">
        <v>15</v>
      </c>
      <c r="H745" t="s">
        <v>16</v>
      </c>
      <c r="I745">
        <v>43.12</v>
      </c>
      <c r="J745" t="s">
        <v>652</v>
      </c>
      <c r="K745" t="s">
        <v>652</v>
      </c>
    </row>
    <row r="746" spans="1:11" x14ac:dyDescent="0.5">
      <c r="A746" t="s">
        <v>1537</v>
      </c>
      <c r="B746" t="s">
        <v>1051</v>
      </c>
      <c r="C746" t="s">
        <v>1538</v>
      </c>
      <c r="D746" s="1">
        <v>1.8200000000000001E-2</v>
      </c>
      <c r="E746">
        <v>47.9</v>
      </c>
      <c r="F746" t="s">
        <v>651</v>
      </c>
      <c r="G746" t="s">
        <v>15</v>
      </c>
      <c r="H746" t="s">
        <v>16</v>
      </c>
      <c r="I746">
        <v>63.5</v>
      </c>
      <c r="J746" t="s">
        <v>652</v>
      </c>
      <c r="K746" t="s">
        <v>652</v>
      </c>
    </row>
    <row r="747" spans="1:11" x14ac:dyDescent="0.5">
      <c r="A747" t="s">
        <v>1539</v>
      </c>
      <c r="B747" t="s">
        <v>1051</v>
      </c>
      <c r="C747" t="s">
        <v>1540</v>
      </c>
      <c r="D747" s="1">
        <v>2.7300000000000001E-2</v>
      </c>
      <c r="E747">
        <v>36</v>
      </c>
      <c r="F747" t="s">
        <v>651</v>
      </c>
      <c r="G747" t="s">
        <v>15</v>
      </c>
      <c r="H747" t="s">
        <v>16</v>
      </c>
      <c r="I747">
        <v>47.91</v>
      </c>
      <c r="J747" t="s">
        <v>652</v>
      </c>
      <c r="K747" t="s">
        <v>652</v>
      </c>
    </row>
    <row r="748" spans="1:11" x14ac:dyDescent="0.5">
      <c r="A748" t="s">
        <v>1541</v>
      </c>
      <c r="B748" t="s">
        <v>1051</v>
      </c>
      <c r="C748" t="s">
        <v>1542</v>
      </c>
      <c r="D748" s="1">
        <v>0.14000000000000001</v>
      </c>
      <c r="E748">
        <v>39</v>
      </c>
      <c r="F748" t="s">
        <v>651</v>
      </c>
      <c r="G748" t="s">
        <v>16</v>
      </c>
      <c r="H748" t="s">
        <v>16</v>
      </c>
      <c r="I748">
        <v>42.91</v>
      </c>
      <c r="J748" t="s">
        <v>652</v>
      </c>
      <c r="K748" t="s">
        <v>652</v>
      </c>
    </row>
    <row r="749" spans="1:11" x14ac:dyDescent="0.5">
      <c r="A749" t="s">
        <v>1543</v>
      </c>
      <c r="B749" t="s">
        <v>1051</v>
      </c>
      <c r="C749" t="s">
        <v>1544</v>
      </c>
      <c r="D749" s="1">
        <v>1.4E-2</v>
      </c>
      <c r="E749">
        <v>56.2</v>
      </c>
      <c r="F749" t="s">
        <v>651</v>
      </c>
      <c r="G749" t="s">
        <v>15</v>
      </c>
      <c r="H749" t="s">
        <v>16</v>
      </c>
      <c r="I749">
        <v>50.57</v>
      </c>
      <c r="J749" t="s">
        <v>652</v>
      </c>
      <c r="K749" t="s">
        <v>652</v>
      </c>
    </row>
    <row r="750" spans="1:11" x14ac:dyDescent="0.5">
      <c r="A750" t="s">
        <v>1545</v>
      </c>
      <c r="B750" t="s">
        <v>1051</v>
      </c>
      <c r="C750" t="s">
        <v>1546</v>
      </c>
      <c r="D750" s="1">
        <v>2.1299999999999999E-2</v>
      </c>
      <c r="E750">
        <v>37.9</v>
      </c>
      <c r="F750" t="s">
        <v>651</v>
      </c>
      <c r="G750" t="s">
        <v>16</v>
      </c>
      <c r="H750" t="s">
        <v>16</v>
      </c>
      <c r="I750">
        <v>44.16</v>
      </c>
      <c r="J750" t="s">
        <v>652</v>
      </c>
      <c r="K750" t="s">
        <v>652</v>
      </c>
    </row>
    <row r="751" spans="1:11" x14ac:dyDescent="0.5">
      <c r="A751" t="s">
        <v>1547</v>
      </c>
      <c r="B751" t="s">
        <v>1051</v>
      </c>
      <c r="C751" t="s">
        <v>1548</v>
      </c>
      <c r="D751" s="1">
        <v>2.1299999999999999E-2</v>
      </c>
      <c r="E751">
        <v>53.2</v>
      </c>
      <c r="F751" t="s">
        <v>651</v>
      </c>
      <c r="G751" t="s">
        <v>16</v>
      </c>
      <c r="H751" t="s">
        <v>32</v>
      </c>
      <c r="I751">
        <v>22.16</v>
      </c>
      <c r="J751" t="s">
        <v>652</v>
      </c>
      <c r="K751" t="s">
        <v>652</v>
      </c>
    </row>
    <row r="752" spans="1:11" x14ac:dyDescent="0.5">
      <c r="A752" t="s">
        <v>1549</v>
      </c>
      <c r="B752" t="s">
        <v>1051</v>
      </c>
      <c r="C752" t="s">
        <v>1550</v>
      </c>
      <c r="D752" s="1">
        <v>6.1899999999999997E-2</v>
      </c>
      <c r="E752">
        <v>100</v>
      </c>
      <c r="F752" t="s">
        <v>651</v>
      </c>
      <c r="G752" t="s">
        <v>506</v>
      </c>
      <c r="H752" t="s">
        <v>32</v>
      </c>
      <c r="I752">
        <v>16.23</v>
      </c>
      <c r="J752" t="s">
        <v>652</v>
      </c>
      <c r="K752" t="s">
        <v>652</v>
      </c>
    </row>
    <row r="753" spans="1:11" x14ac:dyDescent="0.5">
      <c r="A753" t="s">
        <v>1551</v>
      </c>
      <c r="B753" t="s">
        <v>1051</v>
      </c>
      <c r="C753" t="s">
        <v>1552</v>
      </c>
      <c r="D753" s="1">
        <v>1.0999999999999999E-2</v>
      </c>
      <c r="E753">
        <v>69.599999999999994</v>
      </c>
      <c r="F753" t="s">
        <v>651</v>
      </c>
      <c r="G753" t="s">
        <v>15</v>
      </c>
      <c r="H753" t="s">
        <v>32</v>
      </c>
      <c r="I753">
        <v>29.32</v>
      </c>
      <c r="J753" t="s">
        <v>652</v>
      </c>
      <c r="K753" t="s">
        <v>652</v>
      </c>
    </row>
    <row r="754" spans="1:11" x14ac:dyDescent="0.5">
      <c r="A754" t="s">
        <v>1553</v>
      </c>
      <c r="B754" t="s">
        <v>1051</v>
      </c>
      <c r="C754" t="s">
        <v>1554</v>
      </c>
      <c r="D754" s="1">
        <v>0.1145</v>
      </c>
      <c r="E754">
        <v>50.5</v>
      </c>
      <c r="F754" t="s">
        <v>651</v>
      </c>
      <c r="G754" t="s">
        <v>16</v>
      </c>
      <c r="H754" t="s">
        <v>32</v>
      </c>
      <c r="I754">
        <v>23.62</v>
      </c>
      <c r="J754" t="s">
        <v>652</v>
      </c>
      <c r="K754" t="s">
        <v>652</v>
      </c>
    </row>
    <row r="755" spans="1:11" x14ac:dyDescent="0.5">
      <c r="A755" t="s">
        <v>1555</v>
      </c>
      <c r="B755" t="s">
        <v>1051</v>
      </c>
      <c r="C755" t="s">
        <v>1556</v>
      </c>
      <c r="D755" s="1">
        <v>5.2600000000000001E-2</v>
      </c>
      <c r="E755">
        <v>35.1</v>
      </c>
      <c r="F755" t="s">
        <v>651</v>
      </c>
      <c r="G755" t="s">
        <v>16</v>
      </c>
      <c r="H755" t="s">
        <v>16</v>
      </c>
      <c r="I755">
        <v>43.77</v>
      </c>
      <c r="J755" t="s">
        <v>652</v>
      </c>
      <c r="K755" t="s">
        <v>652</v>
      </c>
    </row>
    <row r="756" spans="1:11" x14ac:dyDescent="0.5">
      <c r="A756" t="s">
        <v>1557</v>
      </c>
      <c r="B756" t="s">
        <v>1051</v>
      </c>
      <c r="C756" t="s">
        <v>1558</v>
      </c>
      <c r="D756" s="1">
        <v>4.4400000000000002E-2</v>
      </c>
      <c r="E756">
        <v>25.7</v>
      </c>
      <c r="F756" t="s">
        <v>651</v>
      </c>
      <c r="G756" t="s">
        <v>15</v>
      </c>
      <c r="H756" t="s">
        <v>16</v>
      </c>
      <c r="I756">
        <v>56.58</v>
      </c>
      <c r="J756" t="s">
        <v>652</v>
      </c>
      <c r="K756" t="s">
        <v>652</v>
      </c>
    </row>
    <row r="757" spans="1:11" x14ac:dyDescent="0.5">
      <c r="A757" t="s">
        <v>1559</v>
      </c>
      <c r="B757" t="s">
        <v>1051</v>
      </c>
      <c r="C757" t="s">
        <v>1560</v>
      </c>
      <c r="D757" s="1">
        <v>8.8000000000000005E-3</v>
      </c>
      <c r="E757">
        <v>53.2</v>
      </c>
      <c r="F757" t="s">
        <v>651</v>
      </c>
      <c r="G757" t="s">
        <v>15</v>
      </c>
      <c r="H757" t="s">
        <v>16</v>
      </c>
      <c r="I757">
        <v>48.67</v>
      </c>
      <c r="J757" t="s">
        <v>652</v>
      </c>
      <c r="K757" t="s">
        <v>652</v>
      </c>
    </row>
    <row r="758" spans="1:11" x14ac:dyDescent="0.5">
      <c r="A758" t="s">
        <v>1561</v>
      </c>
      <c r="B758" t="s">
        <v>1051</v>
      </c>
      <c r="C758" t="s">
        <v>1562</v>
      </c>
      <c r="D758" s="1">
        <v>5.6099999999999997E-2</v>
      </c>
      <c r="E758">
        <v>53.1</v>
      </c>
      <c r="F758" t="s">
        <v>651</v>
      </c>
      <c r="G758" t="s">
        <v>15</v>
      </c>
      <c r="H758" t="s">
        <v>32</v>
      </c>
      <c r="I758">
        <v>16.649999999999999</v>
      </c>
      <c r="J758" t="s">
        <v>652</v>
      </c>
      <c r="K758" t="s">
        <v>652</v>
      </c>
    </row>
    <row r="759" spans="1:11" x14ac:dyDescent="0.5">
      <c r="A759" t="s">
        <v>1563</v>
      </c>
      <c r="B759" t="s">
        <v>1051</v>
      </c>
      <c r="C759" t="s">
        <v>1564</v>
      </c>
      <c r="D759" s="1">
        <v>4.1799999999999997E-2</v>
      </c>
      <c r="E759">
        <v>43.7</v>
      </c>
      <c r="F759" t="s">
        <v>651</v>
      </c>
      <c r="G759" t="s">
        <v>15</v>
      </c>
      <c r="H759" t="s">
        <v>16</v>
      </c>
      <c r="I759">
        <v>29.52</v>
      </c>
      <c r="J759" t="s">
        <v>652</v>
      </c>
      <c r="K759" t="s">
        <v>652</v>
      </c>
    </row>
    <row r="760" spans="1:11" x14ac:dyDescent="0.5">
      <c r="A760" t="s">
        <v>1565</v>
      </c>
      <c r="B760" t="s">
        <v>1051</v>
      </c>
      <c r="C760" t="s">
        <v>1566</v>
      </c>
      <c r="D760" s="1">
        <v>2.0199999999999999E-2</v>
      </c>
      <c r="E760">
        <v>31.4</v>
      </c>
      <c r="F760" t="s">
        <v>651</v>
      </c>
      <c r="G760" t="s">
        <v>16</v>
      </c>
      <c r="H760" t="s">
        <v>16</v>
      </c>
      <c r="I760">
        <v>46.54</v>
      </c>
      <c r="J760" t="s">
        <v>652</v>
      </c>
      <c r="K760" t="s">
        <v>652</v>
      </c>
    </row>
    <row r="761" spans="1:11" x14ac:dyDescent="0.5">
      <c r="A761" t="s">
        <v>1567</v>
      </c>
      <c r="B761" t="s">
        <v>1051</v>
      </c>
      <c r="C761" t="s">
        <v>1568</v>
      </c>
      <c r="D761" s="1">
        <v>4.4600000000000001E-2</v>
      </c>
      <c r="E761">
        <v>25.7</v>
      </c>
      <c r="F761" t="s">
        <v>651</v>
      </c>
      <c r="G761" t="s">
        <v>15</v>
      </c>
      <c r="H761" t="s">
        <v>16</v>
      </c>
      <c r="I761">
        <v>54.45</v>
      </c>
      <c r="J761" t="s">
        <v>652</v>
      </c>
      <c r="K761" t="s">
        <v>652</v>
      </c>
    </row>
    <row r="762" spans="1:11" x14ac:dyDescent="0.5">
      <c r="A762" t="s">
        <v>1569</v>
      </c>
      <c r="B762" t="s">
        <v>1051</v>
      </c>
      <c r="C762" t="s">
        <v>1570</v>
      </c>
      <c r="D762" s="1">
        <v>3.6200000000000003E-2</v>
      </c>
      <c r="E762">
        <v>43.5</v>
      </c>
      <c r="F762" t="s">
        <v>651</v>
      </c>
      <c r="G762" t="s">
        <v>15</v>
      </c>
      <c r="H762" t="s">
        <v>506</v>
      </c>
      <c r="I762">
        <v>29.14</v>
      </c>
      <c r="J762" t="s">
        <v>652</v>
      </c>
      <c r="K762" t="s">
        <v>652</v>
      </c>
    </row>
    <row r="763" spans="1:11" x14ac:dyDescent="0.5">
      <c r="A763" t="s">
        <v>1571</v>
      </c>
      <c r="B763" t="s">
        <v>1051</v>
      </c>
      <c r="C763" t="s">
        <v>1572</v>
      </c>
      <c r="D763" s="1">
        <v>4.2200000000000001E-2</v>
      </c>
      <c r="E763">
        <v>43.1</v>
      </c>
      <c r="F763" t="s">
        <v>651</v>
      </c>
      <c r="G763" t="s">
        <v>15</v>
      </c>
      <c r="H763" t="s">
        <v>16</v>
      </c>
      <c r="I763">
        <v>29.45</v>
      </c>
      <c r="J763" t="s">
        <v>652</v>
      </c>
      <c r="K763" t="s">
        <v>652</v>
      </c>
    </row>
    <row r="764" spans="1:11" x14ac:dyDescent="0.5">
      <c r="A764" t="s">
        <v>1573</v>
      </c>
      <c r="B764" t="s">
        <v>1051</v>
      </c>
      <c r="C764" t="s">
        <v>1574</v>
      </c>
      <c r="D764" s="1">
        <v>3.8100000000000002E-2</v>
      </c>
      <c r="E764">
        <v>24.3</v>
      </c>
      <c r="F764" t="s">
        <v>651</v>
      </c>
      <c r="G764" t="s">
        <v>15</v>
      </c>
      <c r="H764" t="s">
        <v>16</v>
      </c>
      <c r="I764">
        <v>55.3</v>
      </c>
      <c r="J764" t="s">
        <v>652</v>
      </c>
      <c r="K764" t="s">
        <v>652</v>
      </c>
    </row>
    <row r="765" spans="1:11" x14ac:dyDescent="0.5">
      <c r="A765" t="s">
        <v>1575</v>
      </c>
      <c r="B765" t="s">
        <v>1051</v>
      </c>
      <c r="C765" t="s">
        <v>1576</v>
      </c>
      <c r="D765" s="1">
        <v>5.0200000000000002E-2</v>
      </c>
      <c r="E765">
        <v>35.1</v>
      </c>
      <c r="F765" t="s">
        <v>651</v>
      </c>
      <c r="G765" t="s">
        <v>16</v>
      </c>
      <c r="H765" t="s">
        <v>16</v>
      </c>
      <c r="I765">
        <v>40.15</v>
      </c>
      <c r="J765" t="s">
        <v>652</v>
      </c>
      <c r="K765" t="s">
        <v>652</v>
      </c>
    </row>
    <row r="766" spans="1:11" x14ac:dyDescent="0.5">
      <c r="A766" t="s">
        <v>1577</v>
      </c>
      <c r="B766" t="s">
        <v>1051</v>
      </c>
      <c r="C766" t="s">
        <v>1578</v>
      </c>
      <c r="D766" s="1">
        <v>4.48E-2</v>
      </c>
      <c r="E766">
        <v>25.2</v>
      </c>
      <c r="F766" t="s">
        <v>651</v>
      </c>
      <c r="G766" t="s">
        <v>15</v>
      </c>
      <c r="H766" t="s">
        <v>16</v>
      </c>
      <c r="I766">
        <v>53.43</v>
      </c>
      <c r="J766" t="s">
        <v>652</v>
      </c>
      <c r="K766" t="s">
        <v>652</v>
      </c>
    </row>
    <row r="767" spans="1:11" x14ac:dyDescent="0.5">
      <c r="A767" t="s">
        <v>1579</v>
      </c>
      <c r="B767" t="s">
        <v>1051</v>
      </c>
      <c r="C767" t="s">
        <v>1580</v>
      </c>
      <c r="D767" s="1">
        <v>4.2900000000000001E-2</v>
      </c>
      <c r="E767">
        <v>25.5</v>
      </c>
      <c r="F767" t="s">
        <v>651</v>
      </c>
      <c r="G767" t="s">
        <v>15</v>
      </c>
      <c r="H767" t="s">
        <v>16</v>
      </c>
      <c r="I767">
        <v>52.88</v>
      </c>
      <c r="J767" t="s">
        <v>652</v>
      </c>
      <c r="K767" t="s">
        <v>652</v>
      </c>
    </row>
    <row r="768" spans="1:11" x14ac:dyDescent="0.5">
      <c r="A768" t="s">
        <v>1581</v>
      </c>
      <c r="B768" t="s">
        <v>1051</v>
      </c>
      <c r="C768" t="s">
        <v>1582</v>
      </c>
      <c r="D768" s="1">
        <v>1.4999999999999999E-2</v>
      </c>
      <c r="E768">
        <v>37.5</v>
      </c>
      <c r="F768" t="s">
        <v>651</v>
      </c>
      <c r="G768" t="s">
        <v>15</v>
      </c>
      <c r="H768" t="s">
        <v>16</v>
      </c>
      <c r="I768">
        <v>67.599999999999994</v>
      </c>
      <c r="J768" t="s">
        <v>652</v>
      </c>
      <c r="K768" t="s">
        <v>652</v>
      </c>
    </row>
    <row r="769" spans="1:11" x14ac:dyDescent="0.5">
      <c r="A769" t="s">
        <v>1583</v>
      </c>
      <c r="B769" t="s">
        <v>1051</v>
      </c>
      <c r="C769" t="s">
        <v>1584</v>
      </c>
      <c r="D769" s="1">
        <v>1.2999999999999999E-3</v>
      </c>
      <c r="E769">
        <v>62.2</v>
      </c>
      <c r="F769" t="s">
        <v>651</v>
      </c>
      <c r="G769" t="s">
        <v>15</v>
      </c>
      <c r="H769" t="s">
        <v>32</v>
      </c>
      <c r="I769">
        <v>32.729999999999997</v>
      </c>
      <c r="J769" t="s">
        <v>652</v>
      </c>
      <c r="K769" t="s">
        <v>652</v>
      </c>
    </row>
    <row r="770" spans="1:11" x14ac:dyDescent="0.5">
      <c r="A770" t="s">
        <v>1585</v>
      </c>
      <c r="B770" t="s">
        <v>1051</v>
      </c>
      <c r="C770" t="s">
        <v>1586</v>
      </c>
      <c r="D770" s="1">
        <v>7.0599999999999996E-2</v>
      </c>
      <c r="E770">
        <v>28</v>
      </c>
      <c r="F770" t="s">
        <v>651</v>
      </c>
      <c r="G770" t="s">
        <v>15</v>
      </c>
      <c r="H770" t="s">
        <v>16</v>
      </c>
      <c r="I770">
        <v>48.54</v>
      </c>
      <c r="J770" t="s">
        <v>652</v>
      </c>
      <c r="K770" t="s">
        <v>652</v>
      </c>
    </row>
    <row r="771" spans="1:11" x14ac:dyDescent="0.5">
      <c r="A771" t="s">
        <v>1587</v>
      </c>
      <c r="B771" t="s">
        <v>1051</v>
      </c>
      <c r="C771" t="s">
        <v>1588</v>
      </c>
      <c r="D771" s="1">
        <v>4.1500000000000002E-2</v>
      </c>
      <c r="E771">
        <v>36.200000000000003</v>
      </c>
      <c r="F771" t="s">
        <v>651</v>
      </c>
      <c r="G771" t="s">
        <v>15</v>
      </c>
      <c r="H771" t="s">
        <v>16</v>
      </c>
      <c r="I771">
        <v>36.53</v>
      </c>
      <c r="J771" t="s">
        <v>652</v>
      </c>
      <c r="K771" t="s">
        <v>652</v>
      </c>
    </row>
    <row r="772" spans="1:11" x14ac:dyDescent="0.5">
      <c r="A772" t="s">
        <v>1589</v>
      </c>
      <c r="B772" t="s">
        <v>1051</v>
      </c>
      <c r="C772" t="s">
        <v>1590</v>
      </c>
      <c r="D772" s="1">
        <v>4.9099999999999998E-2</v>
      </c>
      <c r="E772">
        <v>35.799999999999997</v>
      </c>
      <c r="F772" t="s">
        <v>651</v>
      </c>
      <c r="G772" t="s">
        <v>15</v>
      </c>
      <c r="H772" t="s">
        <v>16</v>
      </c>
      <c r="I772">
        <v>36.94</v>
      </c>
      <c r="J772" t="s">
        <v>652</v>
      </c>
      <c r="K772" t="s">
        <v>652</v>
      </c>
    </row>
    <row r="773" spans="1:11" x14ac:dyDescent="0.5">
      <c r="A773" t="s">
        <v>1591</v>
      </c>
      <c r="B773" t="s">
        <v>1051</v>
      </c>
      <c r="C773" t="s">
        <v>1592</v>
      </c>
      <c r="D773" s="1">
        <v>2.4799999999999999E-2</v>
      </c>
      <c r="E773">
        <v>33.1</v>
      </c>
      <c r="F773" t="s">
        <v>651</v>
      </c>
      <c r="G773" t="s">
        <v>16</v>
      </c>
      <c r="H773" t="s">
        <v>16</v>
      </c>
      <c r="I773">
        <v>40.659999999999997</v>
      </c>
      <c r="J773" t="s">
        <v>652</v>
      </c>
      <c r="K773" t="s">
        <v>652</v>
      </c>
    </row>
    <row r="774" spans="1:11" x14ac:dyDescent="0.5">
      <c r="A774" t="s">
        <v>1593</v>
      </c>
      <c r="B774" t="s">
        <v>1051</v>
      </c>
      <c r="C774" t="s">
        <v>1594</v>
      </c>
      <c r="D774" s="1">
        <v>1.37E-2</v>
      </c>
      <c r="E774">
        <v>38.200000000000003</v>
      </c>
      <c r="F774" t="s">
        <v>651</v>
      </c>
      <c r="G774" t="s">
        <v>15</v>
      </c>
      <c r="H774" t="s">
        <v>16</v>
      </c>
      <c r="I774">
        <v>65.47</v>
      </c>
      <c r="J774" t="s">
        <v>652</v>
      </c>
      <c r="K774" t="s">
        <v>652</v>
      </c>
    </row>
    <row r="775" spans="1:11" x14ac:dyDescent="0.5">
      <c r="A775" t="s">
        <v>1595</v>
      </c>
      <c r="B775" t="s">
        <v>1051</v>
      </c>
      <c r="C775" t="s">
        <v>1596</v>
      </c>
      <c r="D775" s="1">
        <v>0.01</v>
      </c>
      <c r="E775">
        <v>38.700000000000003</v>
      </c>
      <c r="F775" t="s">
        <v>651</v>
      </c>
      <c r="G775" t="s">
        <v>15</v>
      </c>
      <c r="H775" t="s">
        <v>16</v>
      </c>
      <c r="I775">
        <v>64.61</v>
      </c>
      <c r="J775" t="s">
        <v>652</v>
      </c>
      <c r="K775" t="s">
        <v>652</v>
      </c>
    </row>
    <row r="776" spans="1:11" x14ac:dyDescent="0.5">
      <c r="A776" t="s">
        <v>1597</v>
      </c>
      <c r="B776" t="s">
        <v>1051</v>
      </c>
      <c r="C776" t="s">
        <v>1598</v>
      </c>
      <c r="D776" s="1">
        <v>1.5100000000000001E-2</v>
      </c>
      <c r="E776">
        <v>34.1</v>
      </c>
      <c r="F776" t="s">
        <v>651</v>
      </c>
      <c r="G776" t="s">
        <v>15</v>
      </c>
      <c r="H776" t="s">
        <v>16</v>
      </c>
      <c r="I776">
        <v>70.900000000000006</v>
      </c>
      <c r="J776" t="s">
        <v>652</v>
      </c>
      <c r="K776" t="s">
        <v>652</v>
      </c>
    </row>
    <row r="777" spans="1:11" x14ac:dyDescent="0.5">
      <c r="A777" t="s">
        <v>1599</v>
      </c>
      <c r="B777" t="s">
        <v>1051</v>
      </c>
      <c r="C777" t="s">
        <v>1600</v>
      </c>
      <c r="D777" s="1">
        <v>2.46E-2</v>
      </c>
      <c r="E777">
        <v>28.2</v>
      </c>
      <c r="F777" t="s">
        <v>651</v>
      </c>
      <c r="G777" t="s">
        <v>16</v>
      </c>
      <c r="H777" t="s">
        <v>16</v>
      </c>
      <c r="I777">
        <v>46.63</v>
      </c>
      <c r="J777" t="s">
        <v>652</v>
      </c>
      <c r="K777" t="s">
        <v>652</v>
      </c>
    </row>
    <row r="778" spans="1:11" x14ac:dyDescent="0.5">
      <c r="A778" t="s">
        <v>1601</v>
      </c>
      <c r="B778" t="s">
        <v>1051</v>
      </c>
      <c r="C778" t="s">
        <v>1602</v>
      </c>
      <c r="D778" s="1">
        <v>6.7000000000000002E-3</v>
      </c>
      <c r="E778">
        <v>61.9</v>
      </c>
      <c r="F778" t="s">
        <v>651</v>
      </c>
      <c r="G778" t="s">
        <v>16</v>
      </c>
      <c r="H778" t="s">
        <v>32</v>
      </c>
      <c r="I778">
        <v>30.12</v>
      </c>
      <c r="J778" t="s">
        <v>652</v>
      </c>
      <c r="K778" t="s">
        <v>652</v>
      </c>
    </row>
    <row r="779" spans="1:11" x14ac:dyDescent="0.5">
      <c r="A779" t="s">
        <v>1603</v>
      </c>
      <c r="B779" t="s">
        <v>1051</v>
      </c>
      <c r="C779" t="s">
        <v>1604</v>
      </c>
      <c r="D779" s="1">
        <v>0.17910000000000001</v>
      </c>
      <c r="E779">
        <v>45.7</v>
      </c>
      <c r="F779" t="s">
        <v>651</v>
      </c>
      <c r="G779" t="s">
        <v>16</v>
      </c>
      <c r="H779" t="s">
        <v>32</v>
      </c>
      <c r="I779">
        <v>20.8</v>
      </c>
      <c r="J779" t="s">
        <v>652</v>
      </c>
      <c r="K779" t="s">
        <v>652</v>
      </c>
    </row>
    <row r="780" spans="1:11" x14ac:dyDescent="0.5">
      <c r="A780" t="s">
        <v>1605</v>
      </c>
      <c r="B780" t="s">
        <v>1051</v>
      </c>
      <c r="C780" t="s">
        <v>1606</v>
      </c>
      <c r="D780" s="1">
        <v>5.1799999999999999E-2</v>
      </c>
      <c r="E780">
        <v>42.4</v>
      </c>
      <c r="F780" t="s">
        <v>651</v>
      </c>
      <c r="G780" t="s">
        <v>15</v>
      </c>
      <c r="H780" t="s">
        <v>16</v>
      </c>
      <c r="I780">
        <v>25.08</v>
      </c>
      <c r="J780" t="s">
        <v>652</v>
      </c>
      <c r="K780" t="s">
        <v>652</v>
      </c>
    </row>
    <row r="781" spans="1:11" x14ac:dyDescent="0.5">
      <c r="A781" t="s">
        <v>1607</v>
      </c>
      <c r="B781" t="s">
        <v>1051</v>
      </c>
      <c r="C781" t="s">
        <v>1608</v>
      </c>
      <c r="D781" s="1">
        <v>1.6199999999999999E-2</v>
      </c>
      <c r="E781">
        <v>47</v>
      </c>
      <c r="F781" t="s">
        <v>651</v>
      </c>
      <c r="G781" t="s">
        <v>15</v>
      </c>
      <c r="H781" t="s">
        <v>16</v>
      </c>
      <c r="I781">
        <v>50.19</v>
      </c>
      <c r="J781" t="s">
        <v>652</v>
      </c>
      <c r="K781" t="s">
        <v>652</v>
      </c>
    </row>
    <row r="782" spans="1:11" x14ac:dyDescent="0.5">
      <c r="A782" t="s">
        <v>1609</v>
      </c>
      <c r="B782" t="s">
        <v>1051</v>
      </c>
      <c r="C782" t="s">
        <v>1610</v>
      </c>
      <c r="D782" s="1">
        <v>7.7299999999999994E-2</v>
      </c>
      <c r="E782">
        <v>100</v>
      </c>
      <c r="F782" t="s">
        <v>651</v>
      </c>
      <c r="G782" t="s">
        <v>506</v>
      </c>
      <c r="H782" t="s">
        <v>506</v>
      </c>
      <c r="I782">
        <v>3.72</v>
      </c>
      <c r="J782" t="s">
        <v>652</v>
      </c>
      <c r="K782" t="s">
        <v>652</v>
      </c>
    </row>
    <row r="783" spans="1:11" x14ac:dyDescent="0.5">
      <c r="A783" t="s">
        <v>1611</v>
      </c>
      <c r="B783" t="s">
        <v>1051</v>
      </c>
      <c r="C783" t="s">
        <v>1612</v>
      </c>
      <c r="D783" s="1">
        <v>3.7000000000000002E-3</v>
      </c>
      <c r="E783">
        <v>57.5</v>
      </c>
      <c r="F783" t="s">
        <v>651</v>
      </c>
      <c r="G783" t="s">
        <v>15</v>
      </c>
      <c r="H783" t="s">
        <v>32</v>
      </c>
      <c r="I783">
        <v>34.75</v>
      </c>
      <c r="J783" t="s">
        <v>652</v>
      </c>
      <c r="K783" t="s">
        <v>652</v>
      </c>
    </row>
    <row r="784" spans="1:11" x14ac:dyDescent="0.5">
      <c r="A784" t="s">
        <v>1613</v>
      </c>
      <c r="B784" t="s">
        <v>1051</v>
      </c>
      <c r="C784" t="s">
        <v>1614</v>
      </c>
      <c r="D784" s="1">
        <v>3.4099999999999998E-2</v>
      </c>
      <c r="E784">
        <v>41.9</v>
      </c>
      <c r="F784" t="s">
        <v>651</v>
      </c>
      <c r="G784" t="s">
        <v>15</v>
      </c>
      <c r="H784" t="s">
        <v>506</v>
      </c>
      <c r="I784">
        <v>24.52</v>
      </c>
      <c r="J784" t="s">
        <v>652</v>
      </c>
      <c r="K784" t="s">
        <v>652</v>
      </c>
    </row>
    <row r="785" spans="1:11" x14ac:dyDescent="0.5">
      <c r="A785" t="s">
        <v>1615</v>
      </c>
      <c r="B785" t="s">
        <v>1051</v>
      </c>
      <c r="C785" t="s">
        <v>1616</v>
      </c>
      <c r="D785" s="1">
        <v>6.3E-2</v>
      </c>
      <c r="E785">
        <v>42.8</v>
      </c>
      <c r="F785" t="s">
        <v>651</v>
      </c>
      <c r="G785" t="s">
        <v>16</v>
      </c>
      <c r="H785" t="s">
        <v>32</v>
      </c>
      <c r="I785">
        <v>22.99</v>
      </c>
      <c r="J785" t="s">
        <v>652</v>
      </c>
      <c r="K785" t="s">
        <v>652</v>
      </c>
    </row>
    <row r="786" spans="1:11" x14ac:dyDescent="0.5">
      <c r="A786" t="s">
        <v>1617</v>
      </c>
      <c r="B786" t="s">
        <v>1051</v>
      </c>
      <c r="C786" t="s">
        <v>1618</v>
      </c>
      <c r="D786" s="1">
        <v>2.75E-2</v>
      </c>
      <c r="E786">
        <v>22.2</v>
      </c>
      <c r="F786" t="s">
        <v>651</v>
      </c>
      <c r="G786" t="s">
        <v>15</v>
      </c>
      <c r="H786" t="s">
        <v>16</v>
      </c>
      <c r="I786">
        <v>51.71</v>
      </c>
      <c r="J786" t="s">
        <v>652</v>
      </c>
      <c r="K786" t="s">
        <v>652</v>
      </c>
    </row>
    <row r="787" spans="1:11" x14ac:dyDescent="0.5">
      <c r="A787" t="s">
        <v>1619</v>
      </c>
      <c r="B787" t="s">
        <v>1051</v>
      </c>
      <c r="C787" t="s">
        <v>1620</v>
      </c>
      <c r="D787" s="1">
        <v>2.5100000000000001E-2</v>
      </c>
      <c r="E787">
        <v>23.9</v>
      </c>
      <c r="F787" t="s">
        <v>651</v>
      </c>
      <c r="G787" t="s">
        <v>15</v>
      </c>
      <c r="H787" t="s">
        <v>16</v>
      </c>
      <c r="I787">
        <v>49.2</v>
      </c>
      <c r="J787" t="s">
        <v>652</v>
      </c>
      <c r="K787" t="s">
        <v>652</v>
      </c>
    </row>
    <row r="788" spans="1:11" x14ac:dyDescent="0.5">
      <c r="A788" t="s">
        <v>1621</v>
      </c>
      <c r="B788" t="s">
        <v>1051</v>
      </c>
      <c r="C788" t="s">
        <v>1622</v>
      </c>
      <c r="D788" s="1">
        <v>2.7900000000000001E-2</v>
      </c>
      <c r="E788">
        <v>27.5</v>
      </c>
      <c r="F788" t="s">
        <v>651</v>
      </c>
      <c r="G788" t="s">
        <v>16</v>
      </c>
      <c r="H788" t="s">
        <v>16</v>
      </c>
      <c r="I788">
        <v>44.08</v>
      </c>
      <c r="J788" t="s">
        <v>652</v>
      </c>
      <c r="K788" t="s">
        <v>652</v>
      </c>
    </row>
    <row r="789" spans="1:11" x14ac:dyDescent="0.5">
      <c r="A789" t="s">
        <v>1623</v>
      </c>
      <c r="B789" t="s">
        <v>1051</v>
      </c>
      <c r="C789" t="s">
        <v>1624</v>
      </c>
      <c r="D789" s="1">
        <v>6.0000000000000001E-3</v>
      </c>
      <c r="E789">
        <v>45.7</v>
      </c>
      <c r="F789" t="s">
        <v>651</v>
      </c>
      <c r="G789" t="s">
        <v>15</v>
      </c>
      <c r="H789" t="s">
        <v>16</v>
      </c>
      <c r="I789">
        <v>49.99</v>
      </c>
      <c r="J789" t="s">
        <v>652</v>
      </c>
      <c r="K789" t="s">
        <v>652</v>
      </c>
    </row>
    <row r="790" spans="1:11" x14ac:dyDescent="0.5">
      <c r="A790" t="s">
        <v>1625</v>
      </c>
      <c r="B790" t="s">
        <v>1051</v>
      </c>
      <c r="C790" t="s">
        <v>1626</v>
      </c>
      <c r="D790" s="1">
        <v>5.7999999999999996E-3</v>
      </c>
      <c r="E790">
        <v>58</v>
      </c>
      <c r="F790" t="s">
        <v>651</v>
      </c>
      <c r="G790" t="s">
        <v>15</v>
      </c>
      <c r="H790" t="s">
        <v>32</v>
      </c>
      <c r="I790">
        <v>32.71</v>
      </c>
      <c r="J790" t="s">
        <v>652</v>
      </c>
      <c r="K790" t="s">
        <v>652</v>
      </c>
    </row>
    <row r="791" spans="1:11" x14ac:dyDescent="0.5">
      <c r="A791" t="s">
        <v>1627</v>
      </c>
      <c r="B791" t="s">
        <v>1051</v>
      </c>
      <c r="C791" t="s">
        <v>1628</v>
      </c>
      <c r="D791" s="1">
        <v>4.1099999999999998E-2</v>
      </c>
      <c r="E791">
        <v>29.8</v>
      </c>
      <c r="F791" t="s">
        <v>651</v>
      </c>
      <c r="G791" t="s">
        <v>15</v>
      </c>
      <c r="H791" t="s">
        <v>16</v>
      </c>
      <c r="I791">
        <v>39.96</v>
      </c>
      <c r="J791" t="s">
        <v>652</v>
      </c>
      <c r="K791" t="s">
        <v>652</v>
      </c>
    </row>
    <row r="792" spans="1:11" x14ac:dyDescent="0.5">
      <c r="A792" t="s">
        <v>1629</v>
      </c>
      <c r="B792" t="s">
        <v>1051</v>
      </c>
      <c r="C792" t="s">
        <v>1630</v>
      </c>
      <c r="D792" s="1">
        <v>3.8E-3</v>
      </c>
      <c r="E792">
        <v>56.8</v>
      </c>
      <c r="F792" t="s">
        <v>651</v>
      </c>
      <c r="G792" t="s">
        <v>15</v>
      </c>
      <c r="H792" t="s">
        <v>32</v>
      </c>
      <c r="I792">
        <v>34.1</v>
      </c>
      <c r="J792" t="s">
        <v>652</v>
      </c>
      <c r="K792" t="s">
        <v>652</v>
      </c>
    </row>
    <row r="793" spans="1:11" x14ac:dyDescent="0.5">
      <c r="A793" t="s">
        <v>1631</v>
      </c>
      <c r="B793" t="s">
        <v>1051</v>
      </c>
      <c r="C793" t="s">
        <v>1632</v>
      </c>
      <c r="D793" s="1">
        <v>8.0000000000000002E-3</v>
      </c>
      <c r="E793">
        <v>52.7</v>
      </c>
      <c r="F793" t="s">
        <v>651</v>
      </c>
      <c r="G793" t="s">
        <v>16</v>
      </c>
      <c r="H793" t="s">
        <v>16</v>
      </c>
      <c r="I793">
        <v>39.75</v>
      </c>
      <c r="J793" t="s">
        <v>652</v>
      </c>
      <c r="K793" t="s">
        <v>652</v>
      </c>
    </row>
    <row r="794" spans="1:11" x14ac:dyDescent="0.5">
      <c r="A794" t="s">
        <v>1633</v>
      </c>
      <c r="B794" t="s">
        <v>1051</v>
      </c>
      <c r="C794" t="s">
        <v>1634</v>
      </c>
      <c r="D794" s="1">
        <v>0.1075</v>
      </c>
      <c r="E794">
        <v>35.9</v>
      </c>
      <c r="F794" t="s">
        <v>651</v>
      </c>
      <c r="G794" t="s">
        <v>15</v>
      </c>
      <c r="H794" t="s">
        <v>506</v>
      </c>
      <c r="I794">
        <v>31.08</v>
      </c>
      <c r="J794" t="s">
        <v>652</v>
      </c>
      <c r="K794" t="s">
        <v>652</v>
      </c>
    </row>
    <row r="795" spans="1:11" x14ac:dyDescent="0.5">
      <c r="A795" t="s">
        <v>1635</v>
      </c>
      <c r="B795" t="s">
        <v>1051</v>
      </c>
      <c r="C795" t="s">
        <v>1636</v>
      </c>
      <c r="D795" s="1">
        <v>1.43E-2</v>
      </c>
      <c r="E795">
        <v>48.4</v>
      </c>
      <c r="F795" t="s">
        <v>651</v>
      </c>
      <c r="G795" t="s">
        <v>15</v>
      </c>
      <c r="H795" t="s">
        <v>16</v>
      </c>
      <c r="I795">
        <v>45.52</v>
      </c>
      <c r="J795" t="s">
        <v>652</v>
      </c>
      <c r="K795" t="s">
        <v>652</v>
      </c>
    </row>
    <row r="796" spans="1:11" x14ac:dyDescent="0.5">
      <c r="A796" t="s">
        <v>1637</v>
      </c>
      <c r="B796" t="s">
        <v>1051</v>
      </c>
      <c r="C796" t="s">
        <v>1638</v>
      </c>
      <c r="D796" s="1">
        <v>1.61E-2</v>
      </c>
      <c r="E796">
        <v>41.8</v>
      </c>
      <c r="F796" t="s">
        <v>651</v>
      </c>
      <c r="G796" t="s">
        <v>15</v>
      </c>
      <c r="H796" t="s">
        <v>16</v>
      </c>
      <c r="I796">
        <v>54.53</v>
      </c>
      <c r="J796" t="s">
        <v>652</v>
      </c>
      <c r="K796" t="s">
        <v>652</v>
      </c>
    </row>
    <row r="797" spans="1:11" x14ac:dyDescent="0.5">
      <c r="A797" t="s">
        <v>1639</v>
      </c>
      <c r="B797" t="s">
        <v>1051</v>
      </c>
      <c r="C797" t="s">
        <v>1640</v>
      </c>
      <c r="D797" s="1">
        <v>0.1128</v>
      </c>
      <c r="E797">
        <v>31.8</v>
      </c>
      <c r="F797" t="s">
        <v>651</v>
      </c>
      <c r="G797" t="s">
        <v>15</v>
      </c>
      <c r="H797" t="s">
        <v>32</v>
      </c>
      <c r="I797">
        <v>36.49</v>
      </c>
      <c r="J797" t="s">
        <v>652</v>
      </c>
      <c r="K797" t="s">
        <v>652</v>
      </c>
    </row>
    <row r="798" spans="1:11" x14ac:dyDescent="0.5">
      <c r="A798" t="s">
        <v>1641</v>
      </c>
      <c r="B798" t="s">
        <v>1051</v>
      </c>
      <c r="C798" t="s">
        <v>1642</v>
      </c>
      <c r="D798" s="1">
        <v>9.9500000000000005E-2</v>
      </c>
      <c r="E798">
        <v>100</v>
      </c>
      <c r="F798" t="s">
        <v>651</v>
      </c>
      <c r="G798" t="s">
        <v>506</v>
      </c>
      <c r="H798" t="s">
        <v>506</v>
      </c>
      <c r="I798">
        <v>0</v>
      </c>
      <c r="J798" t="s">
        <v>652</v>
      </c>
      <c r="K798" t="s">
        <v>652</v>
      </c>
    </row>
    <row r="799" spans="1:11" x14ac:dyDescent="0.5">
      <c r="A799" t="s">
        <v>1643</v>
      </c>
      <c r="B799" t="s">
        <v>1051</v>
      </c>
      <c r="C799" t="s">
        <v>1644</v>
      </c>
      <c r="D799" s="1">
        <v>0.18110000000000001</v>
      </c>
      <c r="E799">
        <v>100</v>
      </c>
      <c r="F799" t="s">
        <v>651</v>
      </c>
      <c r="G799" t="s">
        <v>506</v>
      </c>
      <c r="H799" t="s">
        <v>506</v>
      </c>
      <c r="I799">
        <v>0</v>
      </c>
      <c r="J799" t="s">
        <v>652</v>
      </c>
      <c r="K799" t="s">
        <v>652</v>
      </c>
    </row>
    <row r="800" spans="1:11" x14ac:dyDescent="0.5">
      <c r="A800" t="s">
        <v>1645</v>
      </c>
      <c r="B800" t="s">
        <v>1051</v>
      </c>
      <c r="C800" t="s">
        <v>1646</v>
      </c>
      <c r="D800" s="1">
        <v>6.3E-3</v>
      </c>
      <c r="E800">
        <v>47.6</v>
      </c>
      <c r="F800" t="s">
        <v>651</v>
      </c>
      <c r="G800" t="s">
        <v>15</v>
      </c>
      <c r="H800" t="s">
        <v>16</v>
      </c>
      <c r="I800">
        <v>44.34</v>
      </c>
      <c r="J800" t="s">
        <v>652</v>
      </c>
      <c r="K800" t="s">
        <v>652</v>
      </c>
    </row>
    <row r="801" spans="1:11" x14ac:dyDescent="0.5">
      <c r="A801" t="s">
        <v>1647</v>
      </c>
      <c r="B801" t="s">
        <v>1051</v>
      </c>
      <c r="C801" t="s">
        <v>1648</v>
      </c>
      <c r="D801" s="1">
        <v>1.37E-2</v>
      </c>
      <c r="E801">
        <v>54.8</v>
      </c>
      <c r="F801" t="s">
        <v>651</v>
      </c>
      <c r="G801" t="s">
        <v>15</v>
      </c>
      <c r="H801" t="s">
        <v>32</v>
      </c>
      <c r="I801">
        <v>33.53</v>
      </c>
      <c r="J801" t="s">
        <v>652</v>
      </c>
      <c r="K801" t="s">
        <v>652</v>
      </c>
    </row>
    <row r="802" spans="1:11" x14ac:dyDescent="0.5">
      <c r="A802" t="s">
        <v>1649</v>
      </c>
      <c r="B802" t="s">
        <v>1051</v>
      </c>
      <c r="C802" t="s">
        <v>1650</v>
      </c>
      <c r="D802" s="1">
        <v>2.7699999999999999E-2</v>
      </c>
      <c r="E802">
        <v>69.2</v>
      </c>
      <c r="F802" t="s">
        <v>651</v>
      </c>
      <c r="G802" t="s">
        <v>506</v>
      </c>
      <c r="H802" t="s">
        <v>16</v>
      </c>
      <c r="I802">
        <v>41.36</v>
      </c>
      <c r="J802" t="s">
        <v>652</v>
      </c>
      <c r="K802" t="s">
        <v>652</v>
      </c>
    </row>
    <row r="803" spans="1:11" x14ac:dyDescent="0.5">
      <c r="A803" t="s">
        <v>1651</v>
      </c>
      <c r="B803" t="s">
        <v>1051</v>
      </c>
      <c r="C803" t="s">
        <v>1652</v>
      </c>
      <c r="D803" s="1">
        <v>2.7000000000000001E-3</v>
      </c>
      <c r="E803">
        <v>54.9</v>
      </c>
      <c r="F803" t="s">
        <v>651</v>
      </c>
      <c r="G803" t="s">
        <v>15</v>
      </c>
      <c r="H803" t="s">
        <v>32</v>
      </c>
      <c r="I803">
        <v>33.33</v>
      </c>
      <c r="J803" t="s">
        <v>652</v>
      </c>
      <c r="K803" t="s">
        <v>652</v>
      </c>
    </row>
    <row r="804" spans="1:11" x14ac:dyDescent="0.5">
      <c r="A804" t="s">
        <v>1653</v>
      </c>
      <c r="B804" t="s">
        <v>1051</v>
      </c>
      <c r="C804" t="s">
        <v>1654</v>
      </c>
      <c r="D804" s="1">
        <v>1.7100000000000001E-2</v>
      </c>
      <c r="E804">
        <v>59.1</v>
      </c>
      <c r="F804" t="s">
        <v>651</v>
      </c>
      <c r="G804" t="s">
        <v>16</v>
      </c>
      <c r="H804" t="s">
        <v>506</v>
      </c>
      <c r="I804">
        <v>27.06</v>
      </c>
      <c r="J804" t="s">
        <v>652</v>
      </c>
      <c r="K804" t="s">
        <v>652</v>
      </c>
    </row>
    <row r="805" spans="1:11" x14ac:dyDescent="0.5">
      <c r="A805" t="s">
        <v>1655</v>
      </c>
      <c r="B805" t="s">
        <v>1051</v>
      </c>
      <c r="C805" t="s">
        <v>1656</v>
      </c>
      <c r="D805" s="1">
        <v>1.09E-2</v>
      </c>
      <c r="E805">
        <v>34.1</v>
      </c>
      <c r="F805" t="s">
        <v>651</v>
      </c>
      <c r="G805" t="s">
        <v>15</v>
      </c>
      <c r="H805" t="s">
        <v>16</v>
      </c>
      <c r="I805">
        <v>61.74</v>
      </c>
      <c r="J805" t="s">
        <v>652</v>
      </c>
      <c r="K805" t="s">
        <v>652</v>
      </c>
    </row>
    <row r="806" spans="1:11" x14ac:dyDescent="0.5">
      <c r="A806" t="s">
        <v>1657</v>
      </c>
      <c r="B806" t="s">
        <v>1051</v>
      </c>
      <c r="C806" t="s">
        <v>1658</v>
      </c>
      <c r="D806" s="1">
        <v>5.67E-2</v>
      </c>
      <c r="E806">
        <v>25</v>
      </c>
      <c r="F806" t="s">
        <v>651</v>
      </c>
      <c r="G806" t="s">
        <v>16</v>
      </c>
      <c r="H806" t="s">
        <v>16</v>
      </c>
      <c r="I806">
        <v>42.02</v>
      </c>
      <c r="J806" t="s">
        <v>652</v>
      </c>
      <c r="K806" t="s">
        <v>652</v>
      </c>
    </row>
    <row r="807" spans="1:11" x14ac:dyDescent="0.5">
      <c r="A807" t="s">
        <v>1659</v>
      </c>
      <c r="B807" t="s">
        <v>1051</v>
      </c>
      <c r="C807" t="s">
        <v>1660</v>
      </c>
      <c r="D807" s="1">
        <v>1.1000000000000001E-3</v>
      </c>
      <c r="E807">
        <v>53</v>
      </c>
      <c r="F807" t="s">
        <v>651</v>
      </c>
      <c r="G807" t="s">
        <v>15</v>
      </c>
      <c r="H807" t="s">
        <v>32</v>
      </c>
      <c r="I807">
        <v>34.03</v>
      </c>
      <c r="J807" t="s">
        <v>652</v>
      </c>
      <c r="K807" t="s">
        <v>652</v>
      </c>
    </row>
    <row r="808" spans="1:11" x14ac:dyDescent="0.5">
      <c r="A808" t="s">
        <v>1661</v>
      </c>
      <c r="B808" t="s">
        <v>1051</v>
      </c>
      <c r="C808" t="s">
        <v>1662</v>
      </c>
      <c r="D808" s="1">
        <v>4.48E-2</v>
      </c>
      <c r="E808">
        <v>42.3</v>
      </c>
      <c r="F808" t="s">
        <v>651</v>
      </c>
      <c r="G808" t="s">
        <v>15</v>
      </c>
      <c r="H808" t="s">
        <v>32</v>
      </c>
      <c r="I808">
        <v>16.649999999999999</v>
      </c>
      <c r="J808" t="s">
        <v>652</v>
      </c>
      <c r="K808" t="s">
        <v>652</v>
      </c>
    </row>
    <row r="809" spans="1:11" x14ac:dyDescent="0.5">
      <c r="A809" t="s">
        <v>1663</v>
      </c>
      <c r="B809" t="s">
        <v>1051</v>
      </c>
      <c r="C809" t="s">
        <v>1664</v>
      </c>
      <c r="D809" s="1">
        <v>2.8400000000000002E-2</v>
      </c>
      <c r="E809">
        <v>24.2</v>
      </c>
      <c r="F809" t="s">
        <v>651</v>
      </c>
      <c r="G809" t="s">
        <v>16</v>
      </c>
      <c r="H809" t="s">
        <v>16</v>
      </c>
      <c r="I809">
        <v>41.62</v>
      </c>
      <c r="J809" t="s">
        <v>652</v>
      </c>
      <c r="K809" t="s">
        <v>652</v>
      </c>
    </row>
    <row r="810" spans="1:11" x14ac:dyDescent="0.5">
      <c r="A810" t="s">
        <v>1665</v>
      </c>
      <c r="B810" t="s">
        <v>1051</v>
      </c>
      <c r="C810" t="s">
        <v>1666</v>
      </c>
      <c r="D810" s="1">
        <v>1.47E-2</v>
      </c>
      <c r="E810">
        <v>28.3</v>
      </c>
      <c r="F810" t="s">
        <v>651</v>
      </c>
      <c r="G810" t="s">
        <v>15</v>
      </c>
      <c r="H810" t="s">
        <v>16</v>
      </c>
      <c r="I810">
        <v>67.739999999999995</v>
      </c>
      <c r="J810" t="s">
        <v>652</v>
      </c>
      <c r="K810" t="s">
        <v>652</v>
      </c>
    </row>
    <row r="811" spans="1:11" x14ac:dyDescent="0.5">
      <c r="A811" t="s">
        <v>1667</v>
      </c>
      <c r="B811" t="s">
        <v>1051</v>
      </c>
      <c r="C811" t="s">
        <v>1668</v>
      </c>
      <c r="D811" s="1">
        <v>1.7299999999999999E-2</v>
      </c>
      <c r="E811">
        <v>46.2</v>
      </c>
      <c r="F811" t="s">
        <v>651</v>
      </c>
      <c r="G811" t="s">
        <v>15</v>
      </c>
      <c r="H811" t="s">
        <v>16</v>
      </c>
      <c r="I811">
        <v>42.59</v>
      </c>
      <c r="J811" t="s">
        <v>652</v>
      </c>
      <c r="K811" t="s">
        <v>652</v>
      </c>
    </row>
    <row r="812" spans="1:11" x14ac:dyDescent="0.5">
      <c r="A812" t="s">
        <v>1669</v>
      </c>
      <c r="B812" t="s">
        <v>1051</v>
      </c>
      <c r="C812" t="s">
        <v>1670</v>
      </c>
      <c r="D812" s="1">
        <v>4.2200000000000001E-2</v>
      </c>
      <c r="E812">
        <v>33.5</v>
      </c>
      <c r="F812" t="s">
        <v>651</v>
      </c>
      <c r="G812" t="s">
        <v>15</v>
      </c>
      <c r="H812" t="s">
        <v>506</v>
      </c>
      <c r="I812">
        <v>28.26</v>
      </c>
      <c r="J812" t="s">
        <v>652</v>
      </c>
      <c r="K812" t="s">
        <v>652</v>
      </c>
    </row>
    <row r="813" spans="1:11" x14ac:dyDescent="0.5">
      <c r="A813" t="s">
        <v>1671</v>
      </c>
      <c r="B813" t="s">
        <v>1051</v>
      </c>
      <c r="C813" t="s">
        <v>1672</v>
      </c>
      <c r="D813" s="1">
        <v>4.4900000000000002E-2</v>
      </c>
      <c r="E813">
        <v>34.1</v>
      </c>
      <c r="F813" t="s">
        <v>651</v>
      </c>
      <c r="G813" t="s">
        <v>15</v>
      </c>
      <c r="H813" t="s">
        <v>506</v>
      </c>
      <c r="I813">
        <v>27.27</v>
      </c>
      <c r="J813" t="s">
        <v>652</v>
      </c>
      <c r="K813" t="s">
        <v>652</v>
      </c>
    </row>
    <row r="814" spans="1:11" x14ac:dyDescent="0.5">
      <c r="A814" t="s">
        <v>1673</v>
      </c>
      <c r="B814" t="s">
        <v>1051</v>
      </c>
      <c r="C814" t="s">
        <v>1674</v>
      </c>
      <c r="D814" s="1">
        <v>2.7E-2</v>
      </c>
      <c r="E814">
        <v>21.6</v>
      </c>
      <c r="F814" t="s">
        <v>651</v>
      </c>
      <c r="G814" t="s">
        <v>15</v>
      </c>
      <c r="H814" t="s">
        <v>16</v>
      </c>
      <c r="I814">
        <v>44.62</v>
      </c>
      <c r="J814" t="s">
        <v>652</v>
      </c>
      <c r="K814" t="s">
        <v>652</v>
      </c>
    </row>
    <row r="815" spans="1:11" x14ac:dyDescent="0.5">
      <c r="A815" t="s">
        <v>1675</v>
      </c>
      <c r="B815" t="s">
        <v>1051</v>
      </c>
      <c r="C815" t="s">
        <v>1676</v>
      </c>
      <c r="D815" s="1">
        <v>5.6599999999999998E-2</v>
      </c>
      <c r="E815">
        <v>37.799999999999997</v>
      </c>
      <c r="F815" t="s">
        <v>651</v>
      </c>
      <c r="G815" t="s">
        <v>16</v>
      </c>
      <c r="H815" t="s">
        <v>32</v>
      </c>
      <c r="I815">
        <v>21.23</v>
      </c>
      <c r="J815" t="s">
        <v>652</v>
      </c>
      <c r="K815" t="s">
        <v>652</v>
      </c>
    </row>
    <row r="816" spans="1:11" x14ac:dyDescent="0.5">
      <c r="A816" t="s">
        <v>1677</v>
      </c>
      <c r="B816" t="s">
        <v>1051</v>
      </c>
      <c r="C816" t="s">
        <v>1678</v>
      </c>
      <c r="D816" s="1">
        <v>4.8000000000000001E-2</v>
      </c>
      <c r="E816">
        <v>35.9</v>
      </c>
      <c r="F816" t="s">
        <v>651</v>
      </c>
      <c r="G816" t="s">
        <v>16</v>
      </c>
      <c r="H816" t="s">
        <v>32</v>
      </c>
      <c r="I816">
        <v>23.82</v>
      </c>
      <c r="J816" t="s">
        <v>652</v>
      </c>
      <c r="K816" t="s">
        <v>652</v>
      </c>
    </row>
    <row r="817" spans="1:11" x14ac:dyDescent="0.5">
      <c r="A817" t="s">
        <v>1679</v>
      </c>
      <c r="B817" t="s">
        <v>1051</v>
      </c>
      <c r="C817" t="s">
        <v>1680</v>
      </c>
      <c r="D817" s="1">
        <v>0.19009999999999999</v>
      </c>
      <c r="E817">
        <v>36.4</v>
      </c>
      <c r="F817" t="s">
        <v>651</v>
      </c>
      <c r="G817" t="s">
        <v>16</v>
      </c>
      <c r="H817" t="s">
        <v>16</v>
      </c>
      <c r="I817">
        <v>22.92</v>
      </c>
      <c r="J817" t="s">
        <v>652</v>
      </c>
      <c r="K817" t="s">
        <v>652</v>
      </c>
    </row>
    <row r="818" spans="1:11" x14ac:dyDescent="0.5">
      <c r="A818" t="s">
        <v>1681</v>
      </c>
      <c r="B818" t="s">
        <v>1051</v>
      </c>
      <c r="C818" t="s">
        <v>1682</v>
      </c>
      <c r="D818" s="1">
        <v>6.3100000000000003E-2</v>
      </c>
      <c r="E818">
        <v>35.1</v>
      </c>
      <c r="F818" t="s">
        <v>651</v>
      </c>
      <c r="G818" t="s">
        <v>16</v>
      </c>
      <c r="H818" t="s">
        <v>32</v>
      </c>
      <c r="I818">
        <v>24.5</v>
      </c>
      <c r="J818" t="s">
        <v>652</v>
      </c>
      <c r="K818" t="s">
        <v>652</v>
      </c>
    </row>
    <row r="819" spans="1:11" x14ac:dyDescent="0.5">
      <c r="A819" t="s">
        <v>1683</v>
      </c>
      <c r="B819" t="s">
        <v>1051</v>
      </c>
      <c r="C819" t="s">
        <v>1684</v>
      </c>
      <c r="D819" s="1">
        <v>1.4E-3</v>
      </c>
      <c r="E819">
        <v>54.9</v>
      </c>
      <c r="F819" t="s">
        <v>651</v>
      </c>
      <c r="G819" t="s">
        <v>15</v>
      </c>
      <c r="H819" t="s">
        <v>32</v>
      </c>
      <c r="I819">
        <v>28.76</v>
      </c>
      <c r="J819" t="s">
        <v>652</v>
      </c>
      <c r="K819" t="s">
        <v>652</v>
      </c>
    </row>
    <row r="820" spans="1:11" x14ac:dyDescent="0.5">
      <c r="A820" t="s">
        <v>1685</v>
      </c>
      <c r="B820" t="s">
        <v>1051</v>
      </c>
      <c r="C820" t="s">
        <v>1686</v>
      </c>
      <c r="D820" s="1">
        <v>5.45E-2</v>
      </c>
      <c r="E820">
        <v>33.299999999999997</v>
      </c>
      <c r="F820" t="s">
        <v>651</v>
      </c>
      <c r="G820" t="s">
        <v>15</v>
      </c>
      <c r="H820" t="s">
        <v>506</v>
      </c>
      <c r="I820">
        <v>26.42</v>
      </c>
      <c r="J820" t="s">
        <v>652</v>
      </c>
      <c r="K820" t="s">
        <v>652</v>
      </c>
    </row>
    <row r="821" spans="1:11" x14ac:dyDescent="0.5">
      <c r="A821" t="s">
        <v>1687</v>
      </c>
      <c r="B821" t="s">
        <v>1051</v>
      </c>
      <c r="C821" t="s">
        <v>1688</v>
      </c>
      <c r="D821" s="1">
        <v>1.0699999999999999E-2</v>
      </c>
      <c r="E821">
        <v>44.6</v>
      </c>
      <c r="F821" t="s">
        <v>651</v>
      </c>
      <c r="G821" t="s">
        <v>15</v>
      </c>
      <c r="H821" t="s">
        <v>16</v>
      </c>
      <c r="I821">
        <v>42.15</v>
      </c>
      <c r="J821" t="s">
        <v>652</v>
      </c>
      <c r="K821" t="s">
        <v>652</v>
      </c>
    </row>
    <row r="822" spans="1:11" x14ac:dyDescent="0.5">
      <c r="A822" t="s">
        <v>1689</v>
      </c>
      <c r="B822" t="s">
        <v>1051</v>
      </c>
      <c r="C822" t="s">
        <v>1690</v>
      </c>
      <c r="D822" s="1">
        <v>8.0000000000000002E-3</v>
      </c>
      <c r="E822">
        <v>43.8</v>
      </c>
      <c r="F822" t="s">
        <v>651</v>
      </c>
      <c r="G822" t="s">
        <v>15</v>
      </c>
      <c r="H822" t="s">
        <v>16</v>
      </c>
      <c r="I822">
        <v>43.05</v>
      </c>
      <c r="J822" t="s">
        <v>652</v>
      </c>
      <c r="K822" t="s">
        <v>652</v>
      </c>
    </row>
    <row r="823" spans="1:11" x14ac:dyDescent="0.5">
      <c r="A823" t="s">
        <v>1691</v>
      </c>
      <c r="B823" t="s">
        <v>1051</v>
      </c>
      <c r="C823" t="s">
        <v>1692</v>
      </c>
      <c r="D823" s="1">
        <v>6.3899999999999998E-2</v>
      </c>
      <c r="E823">
        <v>35.1</v>
      </c>
      <c r="F823" t="s">
        <v>651</v>
      </c>
      <c r="G823" t="s">
        <v>16</v>
      </c>
      <c r="H823" t="s">
        <v>32</v>
      </c>
      <c r="I823">
        <v>22.76</v>
      </c>
      <c r="J823" t="s">
        <v>652</v>
      </c>
      <c r="K823" t="s">
        <v>652</v>
      </c>
    </row>
    <row r="824" spans="1:11" x14ac:dyDescent="0.5">
      <c r="A824" t="s">
        <v>1693</v>
      </c>
      <c r="B824" t="s">
        <v>1051</v>
      </c>
      <c r="C824" t="s">
        <v>1694</v>
      </c>
      <c r="D824" s="1">
        <v>1.18E-2</v>
      </c>
      <c r="E824">
        <v>35.200000000000003</v>
      </c>
      <c r="F824" t="s">
        <v>651</v>
      </c>
      <c r="G824" t="s">
        <v>15</v>
      </c>
      <c r="H824" t="s">
        <v>16</v>
      </c>
      <c r="I824">
        <v>54.46</v>
      </c>
      <c r="J824" t="s">
        <v>652</v>
      </c>
      <c r="K824" t="s">
        <v>652</v>
      </c>
    </row>
    <row r="825" spans="1:11" x14ac:dyDescent="0.5">
      <c r="A825" t="s">
        <v>1695</v>
      </c>
      <c r="B825" t="s">
        <v>1051</v>
      </c>
      <c r="C825" t="s">
        <v>1696</v>
      </c>
      <c r="D825" s="1">
        <v>6.1899999999999997E-2</v>
      </c>
      <c r="E825">
        <v>35.200000000000003</v>
      </c>
      <c r="F825" t="s">
        <v>651</v>
      </c>
      <c r="G825" t="s">
        <v>16</v>
      </c>
      <c r="H825" t="s">
        <v>32</v>
      </c>
      <c r="I825">
        <v>22.16</v>
      </c>
      <c r="J825" t="s">
        <v>652</v>
      </c>
      <c r="K825" t="s">
        <v>652</v>
      </c>
    </row>
    <row r="826" spans="1:11" x14ac:dyDescent="0.5">
      <c r="A826" t="s">
        <v>1697</v>
      </c>
      <c r="B826" t="s">
        <v>1051</v>
      </c>
      <c r="C826" t="s">
        <v>1698</v>
      </c>
      <c r="D826" s="1">
        <v>0.21160000000000001</v>
      </c>
      <c r="E826">
        <v>35.299999999999997</v>
      </c>
      <c r="F826" t="s">
        <v>651</v>
      </c>
      <c r="G826" t="s">
        <v>16</v>
      </c>
      <c r="H826" t="s">
        <v>32</v>
      </c>
      <c r="I826">
        <v>22</v>
      </c>
      <c r="J826" t="s">
        <v>652</v>
      </c>
      <c r="K826" t="s">
        <v>652</v>
      </c>
    </row>
    <row r="827" spans="1:11" x14ac:dyDescent="0.5">
      <c r="A827" t="s">
        <v>1699</v>
      </c>
      <c r="B827" t="s">
        <v>1051</v>
      </c>
      <c r="C827" t="s">
        <v>1700</v>
      </c>
      <c r="D827" s="1">
        <v>4.9500000000000002E-2</v>
      </c>
      <c r="E827">
        <v>35</v>
      </c>
      <c r="F827" t="s">
        <v>651</v>
      </c>
      <c r="G827" t="s">
        <v>16</v>
      </c>
      <c r="H827" t="s">
        <v>32</v>
      </c>
      <c r="I827">
        <v>22.32</v>
      </c>
      <c r="J827" t="s">
        <v>652</v>
      </c>
      <c r="K827" t="s">
        <v>652</v>
      </c>
    </row>
    <row r="828" spans="1:11" x14ac:dyDescent="0.5">
      <c r="A828" t="s">
        <v>1701</v>
      </c>
      <c r="B828" t="s">
        <v>1051</v>
      </c>
      <c r="C828" t="s">
        <v>1702</v>
      </c>
      <c r="D828" s="1">
        <v>3.3300000000000003E-2</v>
      </c>
      <c r="E828">
        <v>18.100000000000001</v>
      </c>
      <c r="F828" t="s">
        <v>651</v>
      </c>
      <c r="G828" t="s">
        <v>16</v>
      </c>
      <c r="H828" t="s">
        <v>16</v>
      </c>
      <c r="I828">
        <v>45.93</v>
      </c>
      <c r="J828" t="s">
        <v>652</v>
      </c>
      <c r="K828" t="s">
        <v>652</v>
      </c>
    </row>
    <row r="829" spans="1:11" x14ac:dyDescent="0.5">
      <c r="A829" t="s">
        <v>1703</v>
      </c>
      <c r="B829" t="s">
        <v>1051</v>
      </c>
      <c r="C829" t="s">
        <v>1704</v>
      </c>
      <c r="D829" s="1">
        <v>6.9400000000000003E-2</v>
      </c>
      <c r="E829">
        <v>34.700000000000003</v>
      </c>
      <c r="F829" t="s">
        <v>651</v>
      </c>
      <c r="G829" t="s">
        <v>16</v>
      </c>
      <c r="H829" t="s">
        <v>32</v>
      </c>
      <c r="I829">
        <v>22.19</v>
      </c>
      <c r="J829" t="s">
        <v>652</v>
      </c>
      <c r="K829" t="s">
        <v>652</v>
      </c>
    </row>
    <row r="830" spans="1:11" x14ac:dyDescent="0.5">
      <c r="A830" t="s">
        <v>1705</v>
      </c>
      <c r="B830" t="s">
        <v>1051</v>
      </c>
      <c r="C830" t="s">
        <v>1706</v>
      </c>
      <c r="D830" s="1">
        <v>4.7999999999999996E-3</v>
      </c>
      <c r="E830">
        <v>50</v>
      </c>
      <c r="F830" t="s">
        <v>651</v>
      </c>
      <c r="G830" t="s">
        <v>15</v>
      </c>
      <c r="H830" t="s">
        <v>32</v>
      </c>
      <c r="I830">
        <v>32.700000000000003</v>
      </c>
      <c r="J830" t="s">
        <v>652</v>
      </c>
      <c r="K830" t="s">
        <v>652</v>
      </c>
    </row>
    <row r="831" spans="1:11" x14ac:dyDescent="0.5">
      <c r="A831" t="s">
        <v>1707</v>
      </c>
      <c r="B831" t="s">
        <v>1051</v>
      </c>
      <c r="C831" t="s">
        <v>1708</v>
      </c>
      <c r="D831" s="1">
        <v>6.8699999999999997E-2</v>
      </c>
      <c r="E831">
        <v>31</v>
      </c>
      <c r="F831" t="s">
        <v>651</v>
      </c>
      <c r="G831" t="s">
        <v>16</v>
      </c>
      <c r="H831" t="s">
        <v>16</v>
      </c>
      <c r="I831">
        <v>27.16</v>
      </c>
      <c r="J831" t="s">
        <v>652</v>
      </c>
      <c r="K831" t="s">
        <v>652</v>
      </c>
    </row>
    <row r="832" spans="1:11" x14ac:dyDescent="0.5">
      <c r="A832" t="s">
        <v>1709</v>
      </c>
      <c r="B832" t="s">
        <v>1051</v>
      </c>
      <c r="C832" t="s">
        <v>1710</v>
      </c>
      <c r="D832" s="1">
        <v>6.5100000000000005E-2</v>
      </c>
      <c r="E832">
        <v>35.700000000000003</v>
      </c>
      <c r="F832" t="s">
        <v>651</v>
      </c>
      <c r="G832" t="s">
        <v>16</v>
      </c>
      <c r="H832" t="s">
        <v>32</v>
      </c>
      <c r="I832">
        <v>20.100000000000001</v>
      </c>
      <c r="J832" t="s">
        <v>652</v>
      </c>
      <c r="K832" t="s">
        <v>652</v>
      </c>
    </row>
    <row r="833" spans="1:11" x14ac:dyDescent="0.5">
      <c r="A833" t="s">
        <v>1711</v>
      </c>
      <c r="B833" t="s">
        <v>1051</v>
      </c>
      <c r="C833" t="s">
        <v>1712</v>
      </c>
      <c r="D833" s="1">
        <v>4.0300000000000002E-2</v>
      </c>
      <c r="E833">
        <v>29.6</v>
      </c>
      <c r="F833" t="s">
        <v>651</v>
      </c>
      <c r="G833" t="s">
        <v>15</v>
      </c>
      <c r="H833" t="s">
        <v>506</v>
      </c>
      <c r="I833">
        <v>28.56</v>
      </c>
      <c r="J833" t="s">
        <v>652</v>
      </c>
      <c r="K833" t="s">
        <v>652</v>
      </c>
    </row>
    <row r="834" spans="1:11" x14ac:dyDescent="0.5">
      <c r="A834" t="s">
        <v>1713</v>
      </c>
      <c r="B834" t="s">
        <v>1051</v>
      </c>
      <c r="C834" t="s">
        <v>1714</v>
      </c>
      <c r="D834" s="1">
        <v>4.5100000000000001E-2</v>
      </c>
      <c r="E834">
        <v>29</v>
      </c>
      <c r="F834" t="s">
        <v>651</v>
      </c>
      <c r="G834" t="s">
        <v>15</v>
      </c>
      <c r="H834" t="s">
        <v>16</v>
      </c>
      <c r="I834">
        <v>29.23</v>
      </c>
      <c r="J834" t="s">
        <v>652</v>
      </c>
      <c r="K834" t="s">
        <v>652</v>
      </c>
    </row>
    <row r="835" spans="1:11" x14ac:dyDescent="0.5">
      <c r="A835" t="s">
        <v>1715</v>
      </c>
      <c r="B835" t="s">
        <v>1051</v>
      </c>
      <c r="C835" t="s">
        <v>1716</v>
      </c>
      <c r="D835" s="1">
        <v>1.29E-2</v>
      </c>
      <c r="E835">
        <v>43.5</v>
      </c>
      <c r="F835" t="s">
        <v>651</v>
      </c>
      <c r="G835" t="s">
        <v>16</v>
      </c>
      <c r="H835" t="s">
        <v>16</v>
      </c>
      <c r="I835">
        <v>40.47</v>
      </c>
      <c r="J835" t="s">
        <v>652</v>
      </c>
      <c r="K835" t="s">
        <v>652</v>
      </c>
    </row>
    <row r="836" spans="1:11" x14ac:dyDescent="0.5">
      <c r="A836" t="s">
        <v>1717</v>
      </c>
      <c r="B836" t="s">
        <v>1051</v>
      </c>
      <c r="C836" t="s">
        <v>1718</v>
      </c>
      <c r="D836" s="1">
        <v>1.9900000000000001E-2</v>
      </c>
      <c r="E836">
        <v>40.6</v>
      </c>
      <c r="F836" t="s">
        <v>651</v>
      </c>
      <c r="G836" t="s">
        <v>16</v>
      </c>
      <c r="H836" t="s">
        <v>16</v>
      </c>
      <c r="I836">
        <v>43.72</v>
      </c>
      <c r="J836" t="s">
        <v>652</v>
      </c>
      <c r="K836" t="s">
        <v>652</v>
      </c>
    </row>
    <row r="837" spans="1:11" x14ac:dyDescent="0.5">
      <c r="A837" t="s">
        <v>1719</v>
      </c>
      <c r="B837" t="s">
        <v>1051</v>
      </c>
      <c r="C837" t="s">
        <v>1720</v>
      </c>
      <c r="D837" s="1">
        <v>8.0999999999999996E-3</v>
      </c>
      <c r="E837">
        <v>34.9</v>
      </c>
      <c r="F837" t="s">
        <v>651</v>
      </c>
      <c r="G837" t="s">
        <v>15</v>
      </c>
      <c r="H837" t="s">
        <v>16</v>
      </c>
      <c r="I837">
        <v>51.62</v>
      </c>
      <c r="J837" t="s">
        <v>652</v>
      </c>
      <c r="K837" t="s">
        <v>652</v>
      </c>
    </row>
    <row r="838" spans="1:11" x14ac:dyDescent="0.5">
      <c r="A838" t="s">
        <v>1721</v>
      </c>
      <c r="B838" t="s">
        <v>1051</v>
      </c>
      <c r="C838" t="s">
        <v>1722</v>
      </c>
      <c r="D838" s="1">
        <v>1.8599999999999998E-2</v>
      </c>
      <c r="E838">
        <v>38.1</v>
      </c>
      <c r="F838" t="s">
        <v>651</v>
      </c>
      <c r="G838" t="s">
        <v>16</v>
      </c>
      <c r="H838" t="s">
        <v>16</v>
      </c>
      <c r="I838">
        <v>46.8</v>
      </c>
      <c r="J838" t="s">
        <v>652</v>
      </c>
      <c r="K838" t="s">
        <v>652</v>
      </c>
    </row>
    <row r="839" spans="1:11" x14ac:dyDescent="0.5">
      <c r="A839" t="s">
        <v>1723</v>
      </c>
      <c r="B839" t="s">
        <v>1051</v>
      </c>
      <c r="C839" t="s">
        <v>1724</v>
      </c>
      <c r="D839" s="1">
        <v>6.1999999999999998E-3</v>
      </c>
      <c r="E839">
        <v>46.5</v>
      </c>
      <c r="F839" t="s">
        <v>651</v>
      </c>
      <c r="G839" t="s">
        <v>15</v>
      </c>
      <c r="H839" t="s">
        <v>32</v>
      </c>
      <c r="I839">
        <v>34.85</v>
      </c>
      <c r="J839" t="s">
        <v>652</v>
      </c>
      <c r="K839" t="s">
        <v>652</v>
      </c>
    </row>
    <row r="840" spans="1:11" x14ac:dyDescent="0.5">
      <c r="A840" t="s">
        <v>1725</v>
      </c>
      <c r="B840" t="s">
        <v>1051</v>
      </c>
      <c r="C840" t="s">
        <v>1726</v>
      </c>
      <c r="D840" s="1">
        <v>4.1000000000000002E-2</v>
      </c>
      <c r="E840">
        <v>28.8</v>
      </c>
      <c r="F840" t="s">
        <v>651</v>
      </c>
      <c r="G840" t="s">
        <v>15</v>
      </c>
      <c r="H840" t="s">
        <v>506</v>
      </c>
      <c r="I840">
        <v>26.79</v>
      </c>
      <c r="J840" t="s">
        <v>652</v>
      </c>
      <c r="K840" t="s">
        <v>652</v>
      </c>
    </row>
    <row r="841" spans="1:11" x14ac:dyDescent="0.5">
      <c r="A841" t="s">
        <v>1727</v>
      </c>
      <c r="B841" t="s">
        <v>1051</v>
      </c>
      <c r="C841" t="s">
        <v>1728</v>
      </c>
      <c r="D841" s="1">
        <v>4.5199999999999997E-2</v>
      </c>
      <c r="E841">
        <v>24.8</v>
      </c>
      <c r="F841" t="s">
        <v>651</v>
      </c>
      <c r="G841" t="s">
        <v>15</v>
      </c>
      <c r="H841" t="s">
        <v>32</v>
      </c>
      <c r="I841">
        <v>32.33</v>
      </c>
      <c r="J841" t="s">
        <v>652</v>
      </c>
      <c r="K841" t="s">
        <v>652</v>
      </c>
    </row>
    <row r="842" spans="1:11" x14ac:dyDescent="0.5">
      <c r="A842" t="s">
        <v>1729</v>
      </c>
      <c r="B842" t="s">
        <v>1051</v>
      </c>
      <c r="C842" t="s">
        <v>1730</v>
      </c>
      <c r="D842" s="1">
        <v>3.9600000000000003E-2</v>
      </c>
      <c r="E842">
        <v>27.5</v>
      </c>
      <c r="F842" t="s">
        <v>651</v>
      </c>
      <c r="G842" t="s">
        <v>16</v>
      </c>
      <c r="H842" t="s">
        <v>506</v>
      </c>
      <c r="I842">
        <v>27.71</v>
      </c>
      <c r="J842" t="s">
        <v>652</v>
      </c>
      <c r="K842" t="s">
        <v>652</v>
      </c>
    </row>
    <row r="843" spans="1:11" x14ac:dyDescent="0.5">
      <c r="A843" t="s">
        <v>1731</v>
      </c>
      <c r="B843" t="s">
        <v>1051</v>
      </c>
      <c r="C843" t="s">
        <v>1732</v>
      </c>
      <c r="D843" s="1">
        <v>4.0099999999999997E-2</v>
      </c>
      <c r="E843">
        <v>26.9</v>
      </c>
      <c r="F843" t="s">
        <v>651</v>
      </c>
      <c r="G843" t="s">
        <v>15</v>
      </c>
      <c r="H843" t="s">
        <v>506</v>
      </c>
      <c r="I843">
        <v>27.95</v>
      </c>
      <c r="J843" t="s">
        <v>652</v>
      </c>
      <c r="K843" t="s">
        <v>652</v>
      </c>
    </row>
    <row r="844" spans="1:11" x14ac:dyDescent="0.5">
      <c r="A844" t="s">
        <v>1733</v>
      </c>
      <c r="B844" t="s">
        <v>1051</v>
      </c>
      <c r="C844" t="s">
        <v>1734</v>
      </c>
      <c r="D844" s="1">
        <v>1.72E-2</v>
      </c>
      <c r="E844">
        <v>38</v>
      </c>
      <c r="F844" t="s">
        <v>651</v>
      </c>
      <c r="G844" t="s">
        <v>16</v>
      </c>
      <c r="H844" t="s">
        <v>16</v>
      </c>
      <c r="I844">
        <v>44.26</v>
      </c>
      <c r="J844" t="s">
        <v>652</v>
      </c>
      <c r="K844" t="s">
        <v>652</v>
      </c>
    </row>
    <row r="845" spans="1:11" x14ac:dyDescent="0.5">
      <c r="A845" t="s">
        <v>1735</v>
      </c>
      <c r="B845" t="s">
        <v>1051</v>
      </c>
      <c r="C845" t="s">
        <v>1736</v>
      </c>
      <c r="D845" s="1">
        <v>1.9E-2</v>
      </c>
      <c r="E845">
        <v>41.8</v>
      </c>
      <c r="F845" t="s">
        <v>651</v>
      </c>
      <c r="G845" t="s">
        <v>15</v>
      </c>
      <c r="H845" t="s">
        <v>16</v>
      </c>
      <c r="I845">
        <v>38.85</v>
      </c>
      <c r="J845" t="s">
        <v>652</v>
      </c>
      <c r="K845" t="s">
        <v>652</v>
      </c>
    </row>
    <row r="846" spans="1:11" x14ac:dyDescent="0.5">
      <c r="A846" t="s">
        <v>1737</v>
      </c>
      <c r="B846" t="s">
        <v>1051</v>
      </c>
      <c r="C846" t="s">
        <v>1738</v>
      </c>
      <c r="D846" s="1">
        <v>4.0500000000000001E-2</v>
      </c>
      <c r="E846">
        <v>26.2</v>
      </c>
      <c r="F846" t="s">
        <v>651</v>
      </c>
      <c r="G846" t="s">
        <v>15</v>
      </c>
      <c r="H846" t="s">
        <v>506</v>
      </c>
      <c r="I846">
        <v>28.34</v>
      </c>
      <c r="J846" t="s">
        <v>652</v>
      </c>
      <c r="K846" t="s">
        <v>652</v>
      </c>
    </row>
    <row r="847" spans="1:11" x14ac:dyDescent="0.5">
      <c r="A847" t="s">
        <v>1739</v>
      </c>
      <c r="B847" t="s">
        <v>1051</v>
      </c>
      <c r="C847" t="s">
        <v>1740</v>
      </c>
      <c r="D847" s="1">
        <v>3.3999999999999998E-3</v>
      </c>
      <c r="E847">
        <v>38.299999999999997</v>
      </c>
      <c r="F847" t="s">
        <v>651</v>
      </c>
      <c r="G847" t="s">
        <v>15</v>
      </c>
      <c r="H847" t="s">
        <v>32</v>
      </c>
      <c r="I847">
        <v>43.37</v>
      </c>
      <c r="J847" t="s">
        <v>652</v>
      </c>
      <c r="K847" t="s">
        <v>652</v>
      </c>
    </row>
    <row r="848" spans="1:11" x14ac:dyDescent="0.5">
      <c r="A848" t="s">
        <v>1741</v>
      </c>
      <c r="B848" t="s">
        <v>1051</v>
      </c>
      <c r="C848" t="s">
        <v>1742</v>
      </c>
      <c r="D848" s="1">
        <v>4.0599999999999997E-2</v>
      </c>
      <c r="E848">
        <v>25.4</v>
      </c>
      <c r="F848" t="s">
        <v>651</v>
      </c>
      <c r="G848" t="s">
        <v>16</v>
      </c>
      <c r="H848" t="s">
        <v>506</v>
      </c>
      <c r="I848">
        <v>29.18</v>
      </c>
      <c r="J848" t="s">
        <v>652</v>
      </c>
      <c r="K848" t="s">
        <v>652</v>
      </c>
    </row>
    <row r="849" spans="1:11" x14ac:dyDescent="0.5">
      <c r="A849" t="s">
        <v>1743</v>
      </c>
      <c r="B849" t="s">
        <v>1051</v>
      </c>
      <c r="C849" t="s">
        <v>1744</v>
      </c>
      <c r="D849" s="1">
        <v>1.04E-2</v>
      </c>
      <c r="E849">
        <v>34.6</v>
      </c>
      <c r="F849" t="s">
        <v>651</v>
      </c>
      <c r="G849" t="s">
        <v>15</v>
      </c>
      <c r="H849" t="s">
        <v>16</v>
      </c>
      <c r="I849">
        <v>48.13</v>
      </c>
      <c r="J849" t="s">
        <v>652</v>
      </c>
      <c r="K849" t="s">
        <v>652</v>
      </c>
    </row>
    <row r="850" spans="1:11" x14ac:dyDescent="0.5">
      <c r="A850" t="s">
        <v>1745</v>
      </c>
      <c r="B850" t="s">
        <v>1051</v>
      </c>
      <c r="C850" t="s">
        <v>1746</v>
      </c>
      <c r="D850" s="1">
        <v>5.7299999999999997E-2</v>
      </c>
      <c r="E850">
        <v>31.6</v>
      </c>
      <c r="F850" t="s">
        <v>651</v>
      </c>
      <c r="G850" t="s">
        <v>16</v>
      </c>
      <c r="H850" t="s">
        <v>32</v>
      </c>
      <c r="I850">
        <v>20.16</v>
      </c>
      <c r="J850" t="s">
        <v>652</v>
      </c>
      <c r="K850" t="s">
        <v>652</v>
      </c>
    </row>
    <row r="851" spans="1:11" x14ac:dyDescent="0.5">
      <c r="A851" t="s">
        <v>1747</v>
      </c>
      <c r="B851" t="s">
        <v>1051</v>
      </c>
      <c r="C851" t="s">
        <v>1748</v>
      </c>
      <c r="D851" s="1">
        <v>3.1800000000000002E-2</v>
      </c>
      <c r="E851">
        <v>25.1</v>
      </c>
      <c r="F851" t="s">
        <v>651</v>
      </c>
      <c r="G851" t="s">
        <v>15</v>
      </c>
      <c r="H851" t="s">
        <v>506</v>
      </c>
      <c r="I851">
        <v>28.93</v>
      </c>
      <c r="J851" t="s">
        <v>652</v>
      </c>
      <c r="K851" t="s">
        <v>652</v>
      </c>
    </row>
    <row r="852" spans="1:11" x14ac:dyDescent="0.5">
      <c r="A852" t="s">
        <v>1749</v>
      </c>
      <c r="B852" t="s">
        <v>1051</v>
      </c>
      <c r="C852" t="s">
        <v>1750</v>
      </c>
      <c r="D852" s="1">
        <v>3.6299999999999999E-2</v>
      </c>
      <c r="E852">
        <v>25.3</v>
      </c>
      <c r="F852" t="s">
        <v>651</v>
      </c>
      <c r="G852" t="s">
        <v>15</v>
      </c>
      <c r="H852" t="s">
        <v>506</v>
      </c>
      <c r="I852">
        <v>28.55</v>
      </c>
      <c r="J852" t="s">
        <v>652</v>
      </c>
      <c r="K852" t="s">
        <v>652</v>
      </c>
    </row>
    <row r="853" spans="1:11" x14ac:dyDescent="0.5">
      <c r="A853" t="s">
        <v>1751</v>
      </c>
      <c r="B853" t="s">
        <v>1051</v>
      </c>
      <c r="C853" t="s">
        <v>1752</v>
      </c>
      <c r="D853" s="1">
        <v>5.1200000000000002E-2</v>
      </c>
      <c r="E853">
        <v>28.4</v>
      </c>
      <c r="F853" t="s">
        <v>651</v>
      </c>
      <c r="G853" t="s">
        <v>16</v>
      </c>
      <c r="H853" t="s">
        <v>32</v>
      </c>
      <c r="I853">
        <v>24.15</v>
      </c>
      <c r="J853" t="s">
        <v>652</v>
      </c>
      <c r="K853" t="s">
        <v>652</v>
      </c>
    </row>
    <row r="854" spans="1:11" x14ac:dyDescent="0.5">
      <c r="A854" t="s">
        <v>1753</v>
      </c>
      <c r="B854" t="s">
        <v>1051</v>
      </c>
      <c r="C854" t="s">
        <v>1754</v>
      </c>
      <c r="D854" s="1">
        <v>9.7999999999999997E-3</v>
      </c>
      <c r="E854">
        <v>35.299999999999997</v>
      </c>
      <c r="F854" t="s">
        <v>651</v>
      </c>
      <c r="G854" t="s">
        <v>16</v>
      </c>
      <c r="H854" t="s">
        <v>16</v>
      </c>
      <c r="I854">
        <v>46.31</v>
      </c>
      <c r="J854" t="s">
        <v>652</v>
      </c>
      <c r="K854" t="s">
        <v>652</v>
      </c>
    </row>
    <row r="855" spans="1:11" x14ac:dyDescent="0.5">
      <c r="A855" t="s">
        <v>1755</v>
      </c>
      <c r="B855" t="s">
        <v>1051</v>
      </c>
      <c r="C855" t="s">
        <v>1756</v>
      </c>
      <c r="D855" s="1">
        <v>6.8999999999999999E-3</v>
      </c>
      <c r="E855">
        <v>39.6</v>
      </c>
      <c r="F855" t="s">
        <v>651</v>
      </c>
      <c r="G855" t="s">
        <v>16</v>
      </c>
      <c r="H855" t="s">
        <v>16</v>
      </c>
      <c r="I855">
        <v>40.270000000000003</v>
      </c>
      <c r="J855" t="s">
        <v>652</v>
      </c>
      <c r="K855" t="s">
        <v>652</v>
      </c>
    </row>
    <row r="856" spans="1:11" x14ac:dyDescent="0.5">
      <c r="A856" t="s">
        <v>1757</v>
      </c>
      <c r="B856" t="s">
        <v>1051</v>
      </c>
      <c r="C856" t="s">
        <v>1758</v>
      </c>
      <c r="D856" s="1">
        <v>4.24E-2</v>
      </c>
      <c r="E856">
        <v>25.9</v>
      </c>
      <c r="F856" t="s">
        <v>651</v>
      </c>
      <c r="G856" t="s">
        <v>15</v>
      </c>
      <c r="H856" t="s">
        <v>506</v>
      </c>
      <c r="I856">
        <v>27.43</v>
      </c>
      <c r="J856" t="s">
        <v>652</v>
      </c>
      <c r="K856" t="s">
        <v>652</v>
      </c>
    </row>
    <row r="857" spans="1:11" x14ac:dyDescent="0.5">
      <c r="A857" t="s">
        <v>1759</v>
      </c>
      <c r="B857" t="s">
        <v>1051</v>
      </c>
      <c r="C857" t="s">
        <v>1760</v>
      </c>
      <c r="D857" s="1">
        <v>6.3E-3</v>
      </c>
      <c r="E857">
        <v>44.6</v>
      </c>
      <c r="F857" t="s">
        <v>651</v>
      </c>
      <c r="G857" t="s">
        <v>15</v>
      </c>
      <c r="H857" t="s">
        <v>32</v>
      </c>
      <c r="I857">
        <v>33.090000000000003</v>
      </c>
      <c r="J857" t="s">
        <v>652</v>
      </c>
      <c r="K857" t="s">
        <v>652</v>
      </c>
    </row>
    <row r="858" spans="1:11" x14ac:dyDescent="0.5">
      <c r="A858" t="s">
        <v>1761</v>
      </c>
      <c r="B858" t="s">
        <v>1051</v>
      </c>
      <c r="C858" t="s">
        <v>1762</v>
      </c>
      <c r="D858" s="1">
        <v>4.2799999999999998E-2</v>
      </c>
      <c r="E858">
        <v>25.3</v>
      </c>
      <c r="F858" t="s">
        <v>651</v>
      </c>
      <c r="G858" t="s">
        <v>15</v>
      </c>
      <c r="H858" t="s">
        <v>506</v>
      </c>
      <c r="I858">
        <v>27.91</v>
      </c>
      <c r="J858" t="s">
        <v>652</v>
      </c>
      <c r="K858" t="s">
        <v>652</v>
      </c>
    </row>
    <row r="859" spans="1:11" x14ac:dyDescent="0.5">
      <c r="A859" t="s">
        <v>1763</v>
      </c>
      <c r="B859" t="s">
        <v>1051</v>
      </c>
      <c r="C859" t="s">
        <v>1764</v>
      </c>
      <c r="D859" s="1">
        <v>9.4999999999999998E-3</v>
      </c>
      <c r="E859">
        <v>38.299999999999997</v>
      </c>
      <c r="F859" t="s">
        <v>651</v>
      </c>
      <c r="G859" t="s">
        <v>15</v>
      </c>
      <c r="H859" t="s">
        <v>16</v>
      </c>
      <c r="I859">
        <v>41.67</v>
      </c>
      <c r="J859" t="s">
        <v>652</v>
      </c>
      <c r="K859" t="s">
        <v>652</v>
      </c>
    </row>
    <row r="860" spans="1:11" x14ac:dyDescent="0.5">
      <c r="A860" t="s">
        <v>1765</v>
      </c>
      <c r="B860" t="s">
        <v>1051</v>
      </c>
      <c r="C860" t="s">
        <v>1766</v>
      </c>
      <c r="D860" s="1">
        <v>4.6100000000000002E-2</v>
      </c>
      <c r="E860">
        <v>24.3</v>
      </c>
      <c r="F860" t="s">
        <v>651</v>
      </c>
      <c r="G860" t="s">
        <v>15</v>
      </c>
      <c r="H860" t="s">
        <v>506</v>
      </c>
      <c r="I860">
        <v>29.16</v>
      </c>
      <c r="J860" t="s">
        <v>652</v>
      </c>
      <c r="K860" t="s">
        <v>652</v>
      </c>
    </row>
    <row r="861" spans="1:11" x14ac:dyDescent="0.5">
      <c r="A861" t="s">
        <v>1767</v>
      </c>
      <c r="B861" t="s">
        <v>1051</v>
      </c>
      <c r="C861" t="s">
        <v>1768</v>
      </c>
      <c r="D861" s="1">
        <v>4.3E-3</v>
      </c>
      <c r="E861">
        <v>38</v>
      </c>
      <c r="F861" t="s">
        <v>651</v>
      </c>
      <c r="G861" t="s">
        <v>15</v>
      </c>
      <c r="H861" t="s">
        <v>16</v>
      </c>
      <c r="I861">
        <v>41.61</v>
      </c>
      <c r="J861" t="s">
        <v>652</v>
      </c>
      <c r="K861" t="s">
        <v>652</v>
      </c>
    </row>
    <row r="862" spans="1:11" x14ac:dyDescent="0.5">
      <c r="A862" t="s">
        <v>1769</v>
      </c>
      <c r="B862" t="s">
        <v>1051</v>
      </c>
      <c r="C862" t="s">
        <v>1770</v>
      </c>
      <c r="D862" s="1">
        <v>1.5299999999999999E-2</v>
      </c>
      <c r="E862">
        <v>36</v>
      </c>
      <c r="F862" t="s">
        <v>651</v>
      </c>
      <c r="G862" t="s">
        <v>16</v>
      </c>
      <c r="H862" t="s">
        <v>16</v>
      </c>
      <c r="I862">
        <v>44.09</v>
      </c>
      <c r="J862" t="s">
        <v>652</v>
      </c>
      <c r="K862" t="s">
        <v>652</v>
      </c>
    </row>
    <row r="863" spans="1:11" x14ac:dyDescent="0.5">
      <c r="A863" t="s">
        <v>1771</v>
      </c>
      <c r="B863" t="s">
        <v>1051</v>
      </c>
      <c r="C863" t="s">
        <v>1772</v>
      </c>
      <c r="D863" s="1">
        <v>6.1999999999999998E-3</v>
      </c>
      <c r="E863">
        <v>42.9</v>
      </c>
      <c r="F863" t="s">
        <v>651</v>
      </c>
      <c r="G863" t="s">
        <v>15</v>
      </c>
      <c r="H863" t="s">
        <v>32</v>
      </c>
      <c r="I863">
        <v>34.42</v>
      </c>
      <c r="J863" t="s">
        <v>652</v>
      </c>
      <c r="K863" t="s">
        <v>652</v>
      </c>
    </row>
    <row r="864" spans="1:11" x14ac:dyDescent="0.5">
      <c r="A864" t="s">
        <v>1773</v>
      </c>
      <c r="B864" t="s">
        <v>1051</v>
      </c>
      <c r="C864" t="s">
        <v>1774</v>
      </c>
      <c r="D864" s="1">
        <v>3.85E-2</v>
      </c>
      <c r="E864">
        <v>24.6</v>
      </c>
      <c r="F864" t="s">
        <v>651</v>
      </c>
      <c r="G864" t="s">
        <v>16</v>
      </c>
      <c r="H864" t="s">
        <v>16</v>
      </c>
      <c r="I864">
        <v>27.94</v>
      </c>
      <c r="J864" t="s">
        <v>652</v>
      </c>
      <c r="K864" t="s">
        <v>652</v>
      </c>
    </row>
    <row r="865" spans="1:11" x14ac:dyDescent="0.5">
      <c r="A865" t="s">
        <v>1775</v>
      </c>
      <c r="B865" t="s">
        <v>1051</v>
      </c>
      <c r="C865" t="s">
        <v>1776</v>
      </c>
      <c r="D865" s="1">
        <v>4.65E-2</v>
      </c>
      <c r="E865">
        <v>24.3</v>
      </c>
      <c r="F865" t="s">
        <v>651</v>
      </c>
      <c r="G865" t="s">
        <v>16</v>
      </c>
      <c r="H865" t="s">
        <v>506</v>
      </c>
      <c r="I865">
        <v>28.34</v>
      </c>
      <c r="J865" t="s">
        <v>652</v>
      </c>
      <c r="K865" t="s">
        <v>652</v>
      </c>
    </row>
    <row r="866" spans="1:11" x14ac:dyDescent="0.5">
      <c r="A866" t="s">
        <v>1777</v>
      </c>
      <c r="B866" t="s">
        <v>1051</v>
      </c>
      <c r="C866" t="s">
        <v>1778</v>
      </c>
      <c r="D866" s="1">
        <v>6.54E-2</v>
      </c>
      <c r="E866">
        <v>25.4</v>
      </c>
      <c r="F866" t="s">
        <v>651</v>
      </c>
      <c r="G866" t="s">
        <v>16</v>
      </c>
      <c r="H866" t="s">
        <v>506</v>
      </c>
      <c r="I866">
        <v>26.6</v>
      </c>
      <c r="J866" t="s">
        <v>652</v>
      </c>
      <c r="K866" t="s">
        <v>652</v>
      </c>
    </row>
    <row r="867" spans="1:11" x14ac:dyDescent="0.5">
      <c r="A867" t="s">
        <v>1779</v>
      </c>
      <c r="B867" t="s">
        <v>1051</v>
      </c>
      <c r="C867" t="s">
        <v>1780</v>
      </c>
      <c r="D867" s="1">
        <v>3.8899999999999997E-2</v>
      </c>
      <c r="E867">
        <v>24.4</v>
      </c>
      <c r="F867" t="s">
        <v>651</v>
      </c>
      <c r="G867" t="s">
        <v>15</v>
      </c>
      <c r="H867" t="s">
        <v>506</v>
      </c>
      <c r="I867">
        <v>27.79</v>
      </c>
      <c r="J867" t="s">
        <v>652</v>
      </c>
      <c r="K867" t="s">
        <v>652</v>
      </c>
    </row>
    <row r="868" spans="1:11" x14ac:dyDescent="0.5">
      <c r="A868" t="s">
        <v>1781</v>
      </c>
      <c r="B868" t="s">
        <v>1051</v>
      </c>
      <c r="C868" t="s">
        <v>1782</v>
      </c>
      <c r="D868" s="1">
        <v>2.4E-2</v>
      </c>
      <c r="E868">
        <v>24.6</v>
      </c>
      <c r="F868" t="s">
        <v>651</v>
      </c>
      <c r="G868" t="s">
        <v>16</v>
      </c>
      <c r="H868" t="s">
        <v>16</v>
      </c>
      <c r="I868">
        <v>27.12</v>
      </c>
      <c r="J868" t="s">
        <v>652</v>
      </c>
      <c r="K868" t="s">
        <v>652</v>
      </c>
    </row>
    <row r="869" spans="1:11" x14ac:dyDescent="0.5">
      <c r="A869" t="s">
        <v>1783</v>
      </c>
      <c r="B869" t="s">
        <v>1051</v>
      </c>
      <c r="C869" t="s">
        <v>1784</v>
      </c>
      <c r="D869" s="1">
        <v>3.15E-2</v>
      </c>
      <c r="E869">
        <v>28.1</v>
      </c>
      <c r="F869" t="s">
        <v>651</v>
      </c>
      <c r="G869" t="s">
        <v>15</v>
      </c>
      <c r="H869" t="s">
        <v>506</v>
      </c>
      <c r="I869">
        <v>22.15</v>
      </c>
      <c r="J869" t="s">
        <v>652</v>
      </c>
      <c r="K869" t="s">
        <v>652</v>
      </c>
    </row>
    <row r="870" spans="1:11" x14ac:dyDescent="0.5">
      <c r="A870" t="s">
        <v>1785</v>
      </c>
      <c r="B870" t="s">
        <v>1051</v>
      </c>
      <c r="C870" t="s">
        <v>1786</v>
      </c>
      <c r="D870" s="1">
        <v>5.0000000000000001E-3</v>
      </c>
      <c r="E870">
        <v>43.2</v>
      </c>
      <c r="F870" t="s">
        <v>651</v>
      </c>
      <c r="G870" t="s">
        <v>15</v>
      </c>
      <c r="H870" t="s">
        <v>32</v>
      </c>
      <c r="I870">
        <v>32.729999999999997</v>
      </c>
      <c r="J870" t="s">
        <v>652</v>
      </c>
      <c r="K870" t="s">
        <v>652</v>
      </c>
    </row>
    <row r="871" spans="1:11" x14ac:dyDescent="0.5">
      <c r="A871" t="s">
        <v>1787</v>
      </c>
      <c r="B871" t="s">
        <v>1051</v>
      </c>
      <c r="C871" t="s">
        <v>1788</v>
      </c>
      <c r="D871" s="1">
        <v>3.6799999999999999E-2</v>
      </c>
      <c r="E871">
        <v>28.3</v>
      </c>
      <c r="F871" t="s">
        <v>651</v>
      </c>
      <c r="G871" t="s">
        <v>15</v>
      </c>
      <c r="H871" t="s">
        <v>506</v>
      </c>
      <c r="I871">
        <v>21.4</v>
      </c>
      <c r="J871" t="s">
        <v>652</v>
      </c>
      <c r="K871" t="s">
        <v>652</v>
      </c>
    </row>
    <row r="872" spans="1:11" x14ac:dyDescent="0.5">
      <c r="A872" t="s">
        <v>1789</v>
      </c>
      <c r="B872" t="s">
        <v>1051</v>
      </c>
      <c r="C872" t="s">
        <v>1790</v>
      </c>
      <c r="D872" s="1">
        <v>3.0800000000000001E-2</v>
      </c>
      <c r="E872">
        <v>77</v>
      </c>
      <c r="F872" t="s">
        <v>651</v>
      </c>
      <c r="G872" t="s">
        <v>506</v>
      </c>
      <c r="H872" t="s">
        <v>32</v>
      </c>
      <c r="I872">
        <v>13.2</v>
      </c>
      <c r="J872" t="s">
        <v>652</v>
      </c>
      <c r="K872" t="s">
        <v>652</v>
      </c>
    </row>
    <row r="873" spans="1:11" x14ac:dyDescent="0.5">
      <c r="A873" t="s">
        <v>1791</v>
      </c>
      <c r="B873" t="s">
        <v>1051</v>
      </c>
      <c r="C873" t="s">
        <v>1792</v>
      </c>
      <c r="D873" s="1">
        <v>3.6299999999999999E-2</v>
      </c>
      <c r="E873">
        <v>25</v>
      </c>
      <c r="F873" t="s">
        <v>651</v>
      </c>
      <c r="G873" t="s">
        <v>16</v>
      </c>
      <c r="H873" t="s">
        <v>32</v>
      </c>
      <c r="I873">
        <v>25.98</v>
      </c>
      <c r="J873" t="s">
        <v>652</v>
      </c>
      <c r="K873" t="s">
        <v>652</v>
      </c>
    </row>
    <row r="874" spans="1:11" x14ac:dyDescent="0.5">
      <c r="A874" t="s">
        <v>1793</v>
      </c>
      <c r="B874" t="s">
        <v>1051</v>
      </c>
      <c r="C874" t="s">
        <v>1794</v>
      </c>
      <c r="D874" s="1">
        <v>4.2299999999999997E-2</v>
      </c>
      <c r="E874">
        <v>23.4</v>
      </c>
      <c r="F874" t="s">
        <v>651</v>
      </c>
      <c r="G874" t="s">
        <v>16</v>
      </c>
      <c r="H874" t="s">
        <v>506</v>
      </c>
      <c r="I874">
        <v>28.14</v>
      </c>
      <c r="J874" t="s">
        <v>652</v>
      </c>
      <c r="K874" t="s">
        <v>652</v>
      </c>
    </row>
    <row r="875" spans="1:11" x14ac:dyDescent="0.5">
      <c r="A875" t="s">
        <v>1795</v>
      </c>
      <c r="B875" t="s">
        <v>1051</v>
      </c>
      <c r="C875" t="s">
        <v>1796</v>
      </c>
      <c r="D875" s="1">
        <v>2.46E-2</v>
      </c>
      <c r="E875">
        <v>34.200000000000003</v>
      </c>
      <c r="F875" t="s">
        <v>651</v>
      </c>
      <c r="G875" t="s">
        <v>16</v>
      </c>
      <c r="H875" t="s">
        <v>506</v>
      </c>
      <c r="I875">
        <v>13</v>
      </c>
      <c r="J875" t="s">
        <v>652</v>
      </c>
      <c r="K875" t="s">
        <v>652</v>
      </c>
    </row>
    <row r="876" spans="1:11" x14ac:dyDescent="0.5">
      <c r="A876" t="s">
        <v>1797</v>
      </c>
      <c r="B876" t="s">
        <v>1051</v>
      </c>
      <c r="C876" t="s">
        <v>1798</v>
      </c>
      <c r="D876" s="1">
        <v>4.5999999999999999E-3</v>
      </c>
      <c r="E876">
        <v>45.1</v>
      </c>
      <c r="F876" t="s">
        <v>651</v>
      </c>
      <c r="G876" t="s">
        <v>15</v>
      </c>
      <c r="H876" t="s">
        <v>32</v>
      </c>
      <c r="I876">
        <v>29.72</v>
      </c>
      <c r="J876" t="s">
        <v>652</v>
      </c>
      <c r="K876" t="s">
        <v>652</v>
      </c>
    </row>
    <row r="877" spans="1:11" x14ac:dyDescent="0.5">
      <c r="A877" t="s">
        <v>1799</v>
      </c>
      <c r="B877" t="s">
        <v>1051</v>
      </c>
      <c r="C877" t="s">
        <v>1800</v>
      </c>
      <c r="D877" s="1">
        <v>1.0800000000000001E-2</v>
      </c>
      <c r="E877">
        <v>38.799999999999997</v>
      </c>
      <c r="F877" t="s">
        <v>651</v>
      </c>
      <c r="G877" t="s">
        <v>16</v>
      </c>
      <c r="H877" t="s">
        <v>16</v>
      </c>
      <c r="I877">
        <v>38.11</v>
      </c>
      <c r="J877" t="s">
        <v>652</v>
      </c>
      <c r="K877" t="s">
        <v>652</v>
      </c>
    </row>
    <row r="878" spans="1:11" x14ac:dyDescent="0.5">
      <c r="A878" t="s">
        <v>1801</v>
      </c>
      <c r="B878" t="s">
        <v>1051</v>
      </c>
      <c r="C878" t="s">
        <v>1802</v>
      </c>
      <c r="D878" s="1">
        <v>4.2299999999999997E-2</v>
      </c>
      <c r="E878">
        <v>23.1</v>
      </c>
      <c r="F878" t="s">
        <v>651</v>
      </c>
      <c r="G878" t="s">
        <v>15</v>
      </c>
      <c r="H878" t="s">
        <v>506</v>
      </c>
      <c r="I878">
        <v>27.78</v>
      </c>
      <c r="J878" t="s">
        <v>652</v>
      </c>
      <c r="K878" t="s">
        <v>652</v>
      </c>
    </row>
    <row r="879" spans="1:11" x14ac:dyDescent="0.5">
      <c r="A879" t="s">
        <v>1803</v>
      </c>
      <c r="B879" t="s">
        <v>1051</v>
      </c>
      <c r="C879" t="s">
        <v>1804</v>
      </c>
      <c r="D879" s="1">
        <v>5.7700000000000001E-2</v>
      </c>
      <c r="E879">
        <v>21.9</v>
      </c>
      <c r="F879" t="s">
        <v>651</v>
      </c>
      <c r="G879" t="s">
        <v>15</v>
      </c>
      <c r="H879" t="s">
        <v>506</v>
      </c>
      <c r="I879">
        <v>29.46</v>
      </c>
      <c r="J879" t="s">
        <v>652</v>
      </c>
      <c r="K879" t="s">
        <v>652</v>
      </c>
    </row>
    <row r="880" spans="1:11" x14ac:dyDescent="0.5">
      <c r="A880" t="s">
        <v>1805</v>
      </c>
      <c r="B880" t="s">
        <v>1051</v>
      </c>
      <c r="C880" t="s">
        <v>1806</v>
      </c>
      <c r="D880" s="1">
        <v>4.3299999999999998E-2</v>
      </c>
      <c r="E880">
        <v>24.8</v>
      </c>
      <c r="F880" t="s">
        <v>651</v>
      </c>
      <c r="G880" t="s">
        <v>15</v>
      </c>
      <c r="H880" t="s">
        <v>506</v>
      </c>
      <c r="I880">
        <v>24.69</v>
      </c>
      <c r="J880" t="s">
        <v>652</v>
      </c>
      <c r="K880" t="s">
        <v>652</v>
      </c>
    </row>
    <row r="881" spans="1:11" x14ac:dyDescent="0.5">
      <c r="A881" t="s">
        <v>1807</v>
      </c>
      <c r="B881" t="s">
        <v>1051</v>
      </c>
      <c r="C881" t="s">
        <v>1808</v>
      </c>
      <c r="D881" s="1">
        <v>1.5800000000000002E-2</v>
      </c>
      <c r="E881">
        <v>42.6</v>
      </c>
      <c r="F881" t="s">
        <v>651</v>
      </c>
      <c r="G881" t="s">
        <v>15</v>
      </c>
      <c r="H881" t="s">
        <v>506</v>
      </c>
      <c r="I881">
        <v>31.46</v>
      </c>
      <c r="J881" t="s">
        <v>652</v>
      </c>
      <c r="K881" t="s">
        <v>652</v>
      </c>
    </row>
    <row r="882" spans="1:11" x14ac:dyDescent="0.5">
      <c r="A882" t="s">
        <v>1809</v>
      </c>
      <c r="B882" t="s">
        <v>1051</v>
      </c>
      <c r="C882" t="s">
        <v>1810</v>
      </c>
      <c r="D882" s="1">
        <v>2.0999999999999999E-3</v>
      </c>
      <c r="E882">
        <v>43.7</v>
      </c>
      <c r="F882" t="s">
        <v>651</v>
      </c>
      <c r="G882" t="s">
        <v>16</v>
      </c>
      <c r="H882" t="s">
        <v>506</v>
      </c>
      <c r="I882">
        <v>29.73</v>
      </c>
      <c r="J882" t="s">
        <v>652</v>
      </c>
      <c r="K882" t="s">
        <v>652</v>
      </c>
    </row>
    <row r="883" spans="1:11" x14ac:dyDescent="0.5">
      <c r="A883" t="s">
        <v>1811</v>
      </c>
      <c r="B883" t="s">
        <v>1051</v>
      </c>
      <c r="C883" t="s">
        <v>1812</v>
      </c>
      <c r="D883" s="1">
        <v>4.3799999999999999E-2</v>
      </c>
      <c r="E883">
        <v>26.3</v>
      </c>
      <c r="F883" t="s">
        <v>651</v>
      </c>
      <c r="G883" t="s">
        <v>15</v>
      </c>
      <c r="H883" t="s">
        <v>506</v>
      </c>
      <c r="I883">
        <v>21.68</v>
      </c>
      <c r="J883" t="s">
        <v>652</v>
      </c>
      <c r="K883" t="s">
        <v>652</v>
      </c>
    </row>
    <row r="884" spans="1:11" x14ac:dyDescent="0.5">
      <c r="A884" t="s">
        <v>1813</v>
      </c>
      <c r="B884" t="s">
        <v>1051</v>
      </c>
      <c r="C884" t="s">
        <v>1814</v>
      </c>
      <c r="D884" s="1">
        <v>3.5000000000000001E-3</v>
      </c>
      <c r="E884">
        <v>42.2</v>
      </c>
      <c r="F884" t="s">
        <v>651</v>
      </c>
      <c r="G884" t="s">
        <v>15</v>
      </c>
      <c r="H884" t="s">
        <v>506</v>
      </c>
      <c r="I884">
        <v>31.26</v>
      </c>
      <c r="J884" t="s">
        <v>652</v>
      </c>
      <c r="K884" t="s">
        <v>652</v>
      </c>
    </row>
    <row r="885" spans="1:11" x14ac:dyDescent="0.5">
      <c r="A885" t="s">
        <v>1815</v>
      </c>
      <c r="B885" t="s">
        <v>1051</v>
      </c>
      <c r="C885" t="s">
        <v>1816</v>
      </c>
      <c r="D885" s="1">
        <v>3.7000000000000002E-3</v>
      </c>
      <c r="E885">
        <v>41.6</v>
      </c>
      <c r="F885" t="s">
        <v>651</v>
      </c>
      <c r="G885" t="s">
        <v>15</v>
      </c>
      <c r="H885" t="s">
        <v>32</v>
      </c>
      <c r="I885">
        <v>32.01</v>
      </c>
      <c r="J885" t="s">
        <v>652</v>
      </c>
      <c r="K885" t="s">
        <v>652</v>
      </c>
    </row>
    <row r="886" spans="1:11" x14ac:dyDescent="0.5">
      <c r="A886" t="s">
        <v>1817</v>
      </c>
      <c r="B886" t="s">
        <v>1051</v>
      </c>
      <c r="C886" t="s">
        <v>1818</v>
      </c>
      <c r="D886" s="1">
        <v>4.5999999999999999E-3</v>
      </c>
      <c r="E886">
        <v>45.7</v>
      </c>
      <c r="F886" t="s">
        <v>651</v>
      </c>
      <c r="G886" t="s">
        <v>15</v>
      </c>
      <c r="H886" t="s">
        <v>506</v>
      </c>
      <c r="I886">
        <v>25.97</v>
      </c>
      <c r="J886" t="s">
        <v>652</v>
      </c>
      <c r="K886" t="s">
        <v>652</v>
      </c>
    </row>
    <row r="887" spans="1:11" x14ac:dyDescent="0.5">
      <c r="A887" t="s">
        <v>1819</v>
      </c>
      <c r="B887" t="s">
        <v>1051</v>
      </c>
      <c r="C887" t="s">
        <v>1820</v>
      </c>
      <c r="D887" s="1">
        <v>3.7000000000000002E-3</v>
      </c>
      <c r="E887">
        <v>59.4</v>
      </c>
      <c r="F887" t="s">
        <v>651</v>
      </c>
      <c r="G887" t="s">
        <v>16</v>
      </c>
      <c r="H887" t="s">
        <v>506</v>
      </c>
      <c r="I887">
        <v>6.6</v>
      </c>
      <c r="J887" t="s">
        <v>652</v>
      </c>
      <c r="K887" t="s">
        <v>652</v>
      </c>
    </row>
    <row r="888" spans="1:11" x14ac:dyDescent="0.5">
      <c r="A888" t="s">
        <v>1821</v>
      </c>
      <c r="B888" t="s">
        <v>1051</v>
      </c>
      <c r="C888" t="s">
        <v>1822</v>
      </c>
      <c r="D888" s="1">
        <v>6.3E-2</v>
      </c>
      <c r="E888">
        <v>10.5</v>
      </c>
      <c r="F888" t="s">
        <v>651</v>
      </c>
      <c r="G888" t="s">
        <v>16</v>
      </c>
      <c r="H888" t="s">
        <v>16</v>
      </c>
      <c r="I888">
        <v>42.93</v>
      </c>
      <c r="J888" t="s">
        <v>652</v>
      </c>
      <c r="K888" t="s">
        <v>652</v>
      </c>
    </row>
    <row r="889" spans="1:11" x14ac:dyDescent="0.5">
      <c r="A889" t="s">
        <v>1823</v>
      </c>
      <c r="B889" t="s">
        <v>1051</v>
      </c>
      <c r="C889" t="s">
        <v>1824</v>
      </c>
      <c r="D889" s="1">
        <v>5.6000000000000001E-2</v>
      </c>
      <c r="E889">
        <v>21.4</v>
      </c>
      <c r="F889" t="s">
        <v>651</v>
      </c>
      <c r="G889" t="s">
        <v>15</v>
      </c>
      <c r="H889" t="s">
        <v>506</v>
      </c>
      <c r="I889">
        <v>27.57</v>
      </c>
      <c r="J889" t="s">
        <v>652</v>
      </c>
      <c r="K889" t="s">
        <v>652</v>
      </c>
    </row>
    <row r="890" spans="1:11" x14ac:dyDescent="0.5">
      <c r="A890" t="s">
        <v>1825</v>
      </c>
      <c r="B890" t="s">
        <v>1051</v>
      </c>
      <c r="C890" t="s">
        <v>1826</v>
      </c>
      <c r="D890" s="1">
        <v>1.03E-2</v>
      </c>
      <c r="E890">
        <v>40.1</v>
      </c>
      <c r="F890" t="s">
        <v>651</v>
      </c>
      <c r="G890" t="s">
        <v>15</v>
      </c>
      <c r="H890" t="s">
        <v>32</v>
      </c>
      <c r="I890">
        <v>33.020000000000003</v>
      </c>
      <c r="J890" t="s">
        <v>652</v>
      </c>
      <c r="K890" t="s">
        <v>652</v>
      </c>
    </row>
    <row r="891" spans="1:11" x14ac:dyDescent="0.5">
      <c r="A891" t="s">
        <v>1827</v>
      </c>
      <c r="B891" t="s">
        <v>1051</v>
      </c>
      <c r="C891" t="s">
        <v>1828</v>
      </c>
      <c r="D891" s="1">
        <v>2.7699999999999999E-2</v>
      </c>
      <c r="E891">
        <v>25</v>
      </c>
      <c r="F891" t="s">
        <v>651</v>
      </c>
      <c r="G891" t="s">
        <v>15</v>
      </c>
      <c r="H891" t="s">
        <v>506</v>
      </c>
      <c r="I891">
        <v>22.07</v>
      </c>
      <c r="J891" t="s">
        <v>652</v>
      </c>
      <c r="K891" t="s">
        <v>652</v>
      </c>
    </row>
    <row r="892" spans="1:11" x14ac:dyDescent="0.5">
      <c r="A892" t="s">
        <v>1829</v>
      </c>
      <c r="B892" t="s">
        <v>1051</v>
      </c>
      <c r="C892" t="s">
        <v>1830</v>
      </c>
      <c r="D892" s="1">
        <v>2.5499999999999998E-2</v>
      </c>
      <c r="E892">
        <v>24.9</v>
      </c>
      <c r="F892" t="s">
        <v>651</v>
      </c>
      <c r="G892" t="s">
        <v>15</v>
      </c>
      <c r="H892" t="s">
        <v>506</v>
      </c>
      <c r="I892">
        <v>22.13</v>
      </c>
      <c r="J892" t="s">
        <v>652</v>
      </c>
      <c r="K892" t="s">
        <v>652</v>
      </c>
    </row>
    <row r="893" spans="1:11" x14ac:dyDescent="0.5">
      <c r="A893" t="s">
        <v>1831</v>
      </c>
      <c r="B893" t="s">
        <v>1051</v>
      </c>
      <c r="C893" t="s">
        <v>1832</v>
      </c>
      <c r="D893" s="1">
        <v>4.3799999999999999E-2</v>
      </c>
      <c r="E893">
        <v>25.3</v>
      </c>
      <c r="F893" t="s">
        <v>651</v>
      </c>
      <c r="G893" t="s">
        <v>15</v>
      </c>
      <c r="H893" t="s">
        <v>32</v>
      </c>
      <c r="I893">
        <v>21.39</v>
      </c>
      <c r="J893" t="s">
        <v>652</v>
      </c>
      <c r="K893" t="s">
        <v>652</v>
      </c>
    </row>
    <row r="894" spans="1:11" x14ac:dyDescent="0.5">
      <c r="A894" t="s">
        <v>1833</v>
      </c>
      <c r="B894" t="s">
        <v>1051</v>
      </c>
      <c r="C894" t="s">
        <v>1834</v>
      </c>
      <c r="D894" s="1">
        <v>1.4500000000000001E-2</v>
      </c>
      <c r="E894">
        <v>45.5</v>
      </c>
      <c r="F894" t="s">
        <v>651</v>
      </c>
      <c r="G894" t="s">
        <v>16</v>
      </c>
      <c r="H894" t="s">
        <v>16</v>
      </c>
      <c r="I894">
        <v>24.66</v>
      </c>
      <c r="J894" t="s">
        <v>652</v>
      </c>
      <c r="K894" t="s">
        <v>652</v>
      </c>
    </row>
    <row r="895" spans="1:11" x14ac:dyDescent="0.5">
      <c r="A895" t="s">
        <v>1835</v>
      </c>
      <c r="B895" t="s">
        <v>1051</v>
      </c>
      <c r="C895" t="s">
        <v>1836</v>
      </c>
      <c r="D895" s="1">
        <v>4.9299999999999997E-2</v>
      </c>
      <c r="E895">
        <v>23.9</v>
      </c>
      <c r="F895" t="s">
        <v>651</v>
      </c>
      <c r="G895" t="s">
        <v>16</v>
      </c>
      <c r="H895" t="s">
        <v>32</v>
      </c>
      <c r="I895">
        <v>22.52</v>
      </c>
      <c r="J895" t="s">
        <v>652</v>
      </c>
      <c r="K895" t="s">
        <v>652</v>
      </c>
    </row>
    <row r="896" spans="1:11" x14ac:dyDescent="0.5">
      <c r="A896" t="s">
        <v>1837</v>
      </c>
      <c r="B896" t="s">
        <v>1051</v>
      </c>
      <c r="C896" t="s">
        <v>1838</v>
      </c>
      <c r="D896" s="1">
        <v>6.8999999999999999E-3</v>
      </c>
      <c r="E896">
        <v>23.2</v>
      </c>
      <c r="F896" t="s">
        <v>651</v>
      </c>
      <c r="G896" t="s">
        <v>15</v>
      </c>
      <c r="H896" t="s">
        <v>16</v>
      </c>
      <c r="I896">
        <v>55.22</v>
      </c>
      <c r="J896" t="s">
        <v>652</v>
      </c>
      <c r="K896" t="s">
        <v>652</v>
      </c>
    </row>
    <row r="897" spans="1:11" x14ac:dyDescent="0.5">
      <c r="A897" t="s">
        <v>1839</v>
      </c>
      <c r="B897" t="s">
        <v>1051</v>
      </c>
      <c r="C897" t="s">
        <v>1840</v>
      </c>
      <c r="D897" s="1">
        <v>1.2E-2</v>
      </c>
      <c r="E897">
        <v>42.9</v>
      </c>
      <c r="F897" t="s">
        <v>651</v>
      </c>
      <c r="G897" t="s">
        <v>16</v>
      </c>
      <c r="H897" t="s">
        <v>506</v>
      </c>
      <c r="I897">
        <v>27.53</v>
      </c>
      <c r="J897" t="s">
        <v>652</v>
      </c>
      <c r="K897" t="s">
        <v>652</v>
      </c>
    </row>
    <row r="898" spans="1:11" x14ac:dyDescent="0.5">
      <c r="A898" t="s">
        <v>1841</v>
      </c>
      <c r="B898" t="s">
        <v>1051</v>
      </c>
      <c r="C898" t="s">
        <v>1842</v>
      </c>
      <c r="D898" s="1">
        <v>1.9900000000000001E-2</v>
      </c>
      <c r="E898">
        <v>31.7</v>
      </c>
      <c r="F898" t="s">
        <v>651</v>
      </c>
      <c r="G898" t="s">
        <v>16</v>
      </c>
      <c r="H898" t="s">
        <v>16</v>
      </c>
      <c r="I898">
        <v>43.05</v>
      </c>
      <c r="J898" t="s">
        <v>652</v>
      </c>
      <c r="K898" t="s">
        <v>652</v>
      </c>
    </row>
    <row r="899" spans="1:11" x14ac:dyDescent="0.5">
      <c r="A899" t="s">
        <v>1843</v>
      </c>
      <c r="B899" t="s">
        <v>1051</v>
      </c>
      <c r="C899" t="s">
        <v>1844</v>
      </c>
      <c r="D899" s="1">
        <v>1.41E-2</v>
      </c>
      <c r="E899">
        <v>30.5</v>
      </c>
      <c r="F899" t="s">
        <v>651</v>
      </c>
      <c r="G899" t="s">
        <v>16</v>
      </c>
      <c r="H899" t="s">
        <v>16</v>
      </c>
      <c r="I899">
        <v>44.47</v>
      </c>
      <c r="J899" t="s">
        <v>652</v>
      </c>
      <c r="K899" t="s">
        <v>652</v>
      </c>
    </row>
    <row r="900" spans="1:11" x14ac:dyDescent="0.5">
      <c r="A900" t="s">
        <v>1845</v>
      </c>
      <c r="B900" t="s">
        <v>1051</v>
      </c>
      <c r="C900" t="s">
        <v>1846</v>
      </c>
      <c r="D900" s="1">
        <v>5.1700000000000003E-2</v>
      </c>
      <c r="E900">
        <v>34.6</v>
      </c>
      <c r="F900" t="s">
        <v>651</v>
      </c>
      <c r="G900" t="s">
        <v>15</v>
      </c>
      <c r="H900" t="s">
        <v>506</v>
      </c>
      <c r="I900">
        <v>6.6</v>
      </c>
      <c r="J900" t="s">
        <v>652</v>
      </c>
      <c r="K900" t="s">
        <v>652</v>
      </c>
    </row>
    <row r="901" spans="1:11" x14ac:dyDescent="0.5">
      <c r="A901" t="s">
        <v>1847</v>
      </c>
      <c r="B901" t="s">
        <v>1051</v>
      </c>
      <c r="C901" t="s">
        <v>1848</v>
      </c>
      <c r="D901" s="1">
        <v>3.4599999999999999E-2</v>
      </c>
      <c r="E901">
        <v>12.2</v>
      </c>
      <c r="F901" t="s">
        <v>651</v>
      </c>
      <c r="G901" t="s">
        <v>16</v>
      </c>
      <c r="H901" t="s">
        <v>16</v>
      </c>
      <c r="I901">
        <v>37.86</v>
      </c>
      <c r="J901" t="s">
        <v>652</v>
      </c>
      <c r="K901" t="s">
        <v>652</v>
      </c>
    </row>
    <row r="902" spans="1:11" x14ac:dyDescent="0.5">
      <c r="A902" t="s">
        <v>1849</v>
      </c>
      <c r="B902" t="s">
        <v>1051</v>
      </c>
      <c r="C902" t="s">
        <v>1850</v>
      </c>
      <c r="D902" s="1">
        <v>1.6199999999999999E-2</v>
      </c>
      <c r="E902">
        <v>33.5</v>
      </c>
      <c r="F902" t="s">
        <v>651</v>
      </c>
      <c r="G902" t="s">
        <v>16</v>
      </c>
      <c r="H902" t="s">
        <v>16</v>
      </c>
      <c r="I902">
        <v>39.65</v>
      </c>
      <c r="J902" t="s">
        <v>652</v>
      </c>
      <c r="K902" t="s">
        <v>652</v>
      </c>
    </row>
    <row r="903" spans="1:11" x14ac:dyDescent="0.5">
      <c r="A903" t="s">
        <v>1851</v>
      </c>
      <c r="B903" t="s">
        <v>1051</v>
      </c>
      <c r="C903" t="s">
        <v>1852</v>
      </c>
      <c r="D903" s="1">
        <v>2.76E-2</v>
      </c>
      <c r="E903">
        <v>69</v>
      </c>
      <c r="F903" t="s">
        <v>651</v>
      </c>
      <c r="G903" t="s">
        <v>506</v>
      </c>
      <c r="H903" t="s">
        <v>32</v>
      </c>
      <c r="I903">
        <v>17.2</v>
      </c>
      <c r="J903" t="s">
        <v>652</v>
      </c>
      <c r="K903" t="s">
        <v>652</v>
      </c>
    </row>
    <row r="904" spans="1:11" x14ac:dyDescent="0.5">
      <c r="A904" t="s">
        <v>1853</v>
      </c>
      <c r="B904" t="s">
        <v>1051</v>
      </c>
      <c r="C904" t="s">
        <v>1854</v>
      </c>
      <c r="D904" s="1">
        <v>1.6999999999999999E-3</v>
      </c>
      <c r="E904">
        <v>37.200000000000003</v>
      </c>
      <c r="F904" t="s">
        <v>651</v>
      </c>
      <c r="G904" t="s">
        <v>15</v>
      </c>
      <c r="H904" t="s">
        <v>32</v>
      </c>
      <c r="I904">
        <v>33.700000000000003</v>
      </c>
      <c r="J904" t="s">
        <v>652</v>
      </c>
      <c r="K904" t="s">
        <v>652</v>
      </c>
    </row>
    <row r="905" spans="1:11" x14ac:dyDescent="0.5">
      <c r="A905" t="s">
        <v>1855</v>
      </c>
      <c r="B905" t="s">
        <v>1051</v>
      </c>
      <c r="C905" t="s">
        <v>1856</v>
      </c>
      <c r="D905" s="1">
        <v>2.7400000000000001E-2</v>
      </c>
      <c r="E905">
        <v>21.4</v>
      </c>
      <c r="F905" t="s">
        <v>651</v>
      </c>
      <c r="G905" t="s">
        <v>16</v>
      </c>
      <c r="H905" t="s">
        <v>16</v>
      </c>
      <c r="I905">
        <v>23.79</v>
      </c>
      <c r="J905" t="s">
        <v>652</v>
      </c>
      <c r="K905" t="s">
        <v>652</v>
      </c>
    </row>
    <row r="906" spans="1:11" x14ac:dyDescent="0.5">
      <c r="A906" t="s">
        <v>1857</v>
      </c>
      <c r="B906" t="s">
        <v>1051</v>
      </c>
      <c r="C906" t="s">
        <v>1858</v>
      </c>
      <c r="D906" s="1">
        <v>9.4000000000000004E-3</v>
      </c>
      <c r="E906">
        <v>42.6</v>
      </c>
      <c r="F906" t="s">
        <v>651</v>
      </c>
      <c r="G906" t="s">
        <v>16</v>
      </c>
      <c r="H906" t="s">
        <v>506</v>
      </c>
      <c r="I906">
        <v>26.04</v>
      </c>
      <c r="J906" t="s">
        <v>652</v>
      </c>
      <c r="K906" t="s">
        <v>652</v>
      </c>
    </row>
    <row r="907" spans="1:11" x14ac:dyDescent="0.5">
      <c r="A907" t="s">
        <v>1859</v>
      </c>
      <c r="B907" t="s">
        <v>1051</v>
      </c>
      <c r="C907" t="s">
        <v>1860</v>
      </c>
      <c r="D907" s="1">
        <v>3.6499999999999998E-2</v>
      </c>
      <c r="E907">
        <v>24.3</v>
      </c>
      <c r="F907" t="s">
        <v>651</v>
      </c>
      <c r="G907" t="s">
        <v>16</v>
      </c>
      <c r="H907" t="s">
        <v>32</v>
      </c>
      <c r="I907">
        <v>19.54</v>
      </c>
      <c r="J907" t="s">
        <v>652</v>
      </c>
      <c r="K907" t="s">
        <v>652</v>
      </c>
    </row>
    <row r="908" spans="1:11" x14ac:dyDescent="0.5">
      <c r="A908" t="s">
        <v>1861</v>
      </c>
      <c r="B908" t="s">
        <v>1051</v>
      </c>
      <c r="C908" t="s">
        <v>1862</v>
      </c>
      <c r="D908" s="1">
        <v>4.5999999999999999E-2</v>
      </c>
      <c r="E908">
        <v>29.4</v>
      </c>
      <c r="F908" t="s">
        <v>651</v>
      </c>
      <c r="G908" t="s">
        <v>15</v>
      </c>
      <c r="H908" t="s">
        <v>506</v>
      </c>
      <c r="I908">
        <v>12.25</v>
      </c>
      <c r="J908" t="s">
        <v>652</v>
      </c>
      <c r="K908" t="s">
        <v>652</v>
      </c>
    </row>
    <row r="909" spans="1:11" x14ac:dyDescent="0.5">
      <c r="A909" t="s">
        <v>1863</v>
      </c>
      <c r="B909" t="s">
        <v>1051</v>
      </c>
      <c r="C909" t="s">
        <v>1864</v>
      </c>
      <c r="D909" s="1">
        <v>3.8E-3</v>
      </c>
      <c r="E909">
        <v>46.3</v>
      </c>
      <c r="F909" t="s">
        <v>651</v>
      </c>
      <c r="G909" t="s">
        <v>15</v>
      </c>
      <c r="H909" t="s">
        <v>506</v>
      </c>
      <c r="I909">
        <v>20.56</v>
      </c>
      <c r="J909" t="s">
        <v>652</v>
      </c>
      <c r="K909" t="s">
        <v>652</v>
      </c>
    </row>
    <row r="910" spans="1:11" x14ac:dyDescent="0.5">
      <c r="A910" t="s">
        <v>1865</v>
      </c>
      <c r="B910" t="s">
        <v>1051</v>
      </c>
      <c r="C910" t="s">
        <v>1866</v>
      </c>
      <c r="D910" s="1">
        <v>5.4999999999999997E-3</v>
      </c>
      <c r="E910">
        <v>42.1</v>
      </c>
      <c r="F910" t="s">
        <v>651</v>
      </c>
      <c r="G910" t="s">
        <v>15</v>
      </c>
      <c r="H910" t="s">
        <v>506</v>
      </c>
      <c r="I910">
        <v>26.29</v>
      </c>
      <c r="J910" t="s">
        <v>652</v>
      </c>
      <c r="K910" t="s">
        <v>652</v>
      </c>
    </row>
    <row r="911" spans="1:11" x14ac:dyDescent="0.5">
      <c r="A911" t="s">
        <v>1867</v>
      </c>
      <c r="B911" t="s">
        <v>1051</v>
      </c>
      <c r="C911" t="s">
        <v>1868</v>
      </c>
      <c r="D911" s="1">
        <v>5.4699999999999999E-2</v>
      </c>
      <c r="E911">
        <v>33.200000000000003</v>
      </c>
      <c r="F911" t="s">
        <v>651</v>
      </c>
      <c r="G911" t="s">
        <v>16</v>
      </c>
      <c r="H911" t="s">
        <v>506</v>
      </c>
      <c r="I911">
        <v>6.6</v>
      </c>
      <c r="J911" t="s">
        <v>652</v>
      </c>
      <c r="K911" t="s">
        <v>652</v>
      </c>
    </row>
    <row r="912" spans="1:11" x14ac:dyDescent="0.5">
      <c r="A912" t="s">
        <v>1869</v>
      </c>
      <c r="B912" t="s">
        <v>1051</v>
      </c>
      <c r="C912" t="s">
        <v>1870</v>
      </c>
      <c r="D912" s="1">
        <v>8.6999999999999994E-3</v>
      </c>
      <c r="E912">
        <v>39.200000000000003</v>
      </c>
      <c r="F912" t="s">
        <v>651</v>
      </c>
      <c r="G912" t="s">
        <v>15</v>
      </c>
      <c r="H912" t="s">
        <v>32</v>
      </c>
      <c r="I912">
        <v>30.1</v>
      </c>
      <c r="J912" t="s">
        <v>652</v>
      </c>
      <c r="K912" t="s">
        <v>652</v>
      </c>
    </row>
    <row r="913" spans="1:11" x14ac:dyDescent="0.5">
      <c r="A913" t="s">
        <v>1871</v>
      </c>
      <c r="B913" t="s">
        <v>1051</v>
      </c>
      <c r="C913" t="s">
        <v>1872</v>
      </c>
      <c r="D913" s="1">
        <v>9.1999999999999998E-3</v>
      </c>
      <c r="E913">
        <v>42.7</v>
      </c>
      <c r="F913" t="s">
        <v>651</v>
      </c>
      <c r="G913" t="s">
        <v>16</v>
      </c>
      <c r="H913" t="s">
        <v>506</v>
      </c>
      <c r="I913">
        <v>25.13</v>
      </c>
      <c r="J913" t="s">
        <v>652</v>
      </c>
      <c r="K913" t="s">
        <v>652</v>
      </c>
    </row>
    <row r="914" spans="1:11" x14ac:dyDescent="0.5">
      <c r="A914" t="s">
        <v>1873</v>
      </c>
      <c r="B914" t="s">
        <v>1051</v>
      </c>
      <c r="C914" t="s">
        <v>1874</v>
      </c>
      <c r="D914" s="1">
        <v>7.7000000000000002E-3</v>
      </c>
      <c r="E914">
        <v>44.1</v>
      </c>
      <c r="F914" t="s">
        <v>651</v>
      </c>
      <c r="G914" t="s">
        <v>16</v>
      </c>
      <c r="H914" t="s">
        <v>16</v>
      </c>
      <c r="I914">
        <v>23.08</v>
      </c>
      <c r="J914" t="s">
        <v>652</v>
      </c>
      <c r="K914" t="s">
        <v>652</v>
      </c>
    </row>
    <row r="915" spans="1:11" x14ac:dyDescent="0.5">
      <c r="A915" t="s">
        <v>1875</v>
      </c>
      <c r="B915" t="s">
        <v>1051</v>
      </c>
      <c r="C915" t="s">
        <v>1876</v>
      </c>
      <c r="D915" s="1">
        <v>7.7000000000000002E-3</v>
      </c>
      <c r="E915">
        <v>41.5</v>
      </c>
      <c r="F915" t="s">
        <v>651</v>
      </c>
      <c r="G915" t="s">
        <v>16</v>
      </c>
      <c r="H915" t="s">
        <v>16</v>
      </c>
      <c r="I915">
        <v>26.68</v>
      </c>
      <c r="J915" t="s">
        <v>652</v>
      </c>
      <c r="K915" t="s">
        <v>652</v>
      </c>
    </row>
    <row r="916" spans="1:11" x14ac:dyDescent="0.5">
      <c r="A916" t="s">
        <v>1877</v>
      </c>
      <c r="B916" t="s">
        <v>1051</v>
      </c>
      <c r="C916" t="s">
        <v>1878</v>
      </c>
      <c r="D916" s="1">
        <v>2.5499999999999998E-2</v>
      </c>
      <c r="E916">
        <v>28.7</v>
      </c>
      <c r="F916" t="s">
        <v>651</v>
      </c>
      <c r="G916" t="s">
        <v>15</v>
      </c>
      <c r="H916" t="s">
        <v>506</v>
      </c>
      <c r="I916">
        <v>12.19</v>
      </c>
      <c r="J916" t="s">
        <v>652</v>
      </c>
      <c r="K916" t="s">
        <v>652</v>
      </c>
    </row>
    <row r="917" spans="1:11" x14ac:dyDescent="0.5">
      <c r="A917" t="s">
        <v>1879</v>
      </c>
      <c r="B917" t="s">
        <v>1051</v>
      </c>
      <c r="C917" t="s">
        <v>1880</v>
      </c>
      <c r="D917" s="1">
        <v>1.0800000000000001E-2</v>
      </c>
      <c r="E917">
        <v>42.2</v>
      </c>
      <c r="F917" t="s">
        <v>651</v>
      </c>
      <c r="G917" t="s">
        <v>16</v>
      </c>
      <c r="H917" t="s">
        <v>506</v>
      </c>
      <c r="I917">
        <v>25.27</v>
      </c>
      <c r="J917" t="s">
        <v>652</v>
      </c>
      <c r="K917" t="s">
        <v>652</v>
      </c>
    </row>
    <row r="918" spans="1:11" x14ac:dyDescent="0.5">
      <c r="A918" t="s">
        <v>1881</v>
      </c>
      <c r="B918" t="s">
        <v>1051</v>
      </c>
      <c r="C918" t="s">
        <v>1882</v>
      </c>
      <c r="D918" s="1">
        <v>4.4600000000000001E-2</v>
      </c>
      <c r="E918">
        <v>28.5</v>
      </c>
      <c r="F918" t="s">
        <v>651</v>
      </c>
      <c r="G918" t="s">
        <v>15</v>
      </c>
      <c r="H918" t="s">
        <v>506</v>
      </c>
      <c r="I918">
        <v>12.42</v>
      </c>
      <c r="J918" t="s">
        <v>652</v>
      </c>
      <c r="K918" t="s">
        <v>652</v>
      </c>
    </row>
    <row r="919" spans="1:11" x14ac:dyDescent="0.5">
      <c r="A919" t="s">
        <v>1883</v>
      </c>
      <c r="B919" t="s">
        <v>1051</v>
      </c>
      <c r="C919" t="s">
        <v>1884</v>
      </c>
      <c r="D919" s="1">
        <v>8.0000000000000002E-3</v>
      </c>
      <c r="E919">
        <v>42.9</v>
      </c>
      <c r="F919" t="s">
        <v>651</v>
      </c>
      <c r="G919" t="s">
        <v>16</v>
      </c>
      <c r="H919" t="s">
        <v>506</v>
      </c>
      <c r="I919">
        <v>23.82</v>
      </c>
      <c r="J919" t="s">
        <v>652</v>
      </c>
      <c r="K919" t="s">
        <v>652</v>
      </c>
    </row>
    <row r="920" spans="1:11" x14ac:dyDescent="0.5">
      <c r="A920" t="s">
        <v>1885</v>
      </c>
      <c r="B920" t="s">
        <v>1051</v>
      </c>
      <c r="C920" t="s">
        <v>1886</v>
      </c>
      <c r="D920" s="1">
        <v>2.93E-2</v>
      </c>
      <c r="E920">
        <v>25.4</v>
      </c>
      <c r="F920" t="s">
        <v>651</v>
      </c>
      <c r="G920" t="s">
        <v>16</v>
      </c>
      <c r="H920" t="s">
        <v>506</v>
      </c>
      <c r="I920">
        <v>15.92</v>
      </c>
      <c r="J920" t="s">
        <v>652</v>
      </c>
      <c r="K920" t="s">
        <v>652</v>
      </c>
    </row>
    <row r="921" spans="1:11" x14ac:dyDescent="0.5">
      <c r="A921" t="s">
        <v>1887</v>
      </c>
      <c r="B921" t="s">
        <v>1051</v>
      </c>
      <c r="C921" t="s">
        <v>1888</v>
      </c>
      <c r="D921" s="1">
        <v>4.4000000000000003E-3</v>
      </c>
      <c r="E921">
        <v>35.4</v>
      </c>
      <c r="F921" t="s">
        <v>651</v>
      </c>
      <c r="G921" t="s">
        <v>15</v>
      </c>
      <c r="H921" t="s">
        <v>32</v>
      </c>
      <c r="I921">
        <v>33.92</v>
      </c>
      <c r="J921" t="s">
        <v>652</v>
      </c>
      <c r="K921" t="s">
        <v>652</v>
      </c>
    </row>
    <row r="922" spans="1:11" x14ac:dyDescent="0.5">
      <c r="A922" t="s">
        <v>1889</v>
      </c>
      <c r="B922" t="s">
        <v>1051</v>
      </c>
      <c r="C922" t="s">
        <v>1890</v>
      </c>
      <c r="D922" s="1">
        <v>2.6200000000000001E-2</v>
      </c>
      <c r="E922">
        <v>22</v>
      </c>
      <c r="F922" t="s">
        <v>651</v>
      </c>
      <c r="G922" t="s">
        <v>16</v>
      </c>
      <c r="H922" t="s">
        <v>32</v>
      </c>
      <c r="I922">
        <v>20.420000000000002</v>
      </c>
      <c r="J922" t="s">
        <v>652</v>
      </c>
      <c r="K922" t="s">
        <v>652</v>
      </c>
    </row>
    <row r="923" spans="1:11" x14ac:dyDescent="0.5">
      <c r="A923" t="s">
        <v>1891</v>
      </c>
      <c r="B923" t="s">
        <v>1051</v>
      </c>
      <c r="C923" t="s">
        <v>1892</v>
      </c>
      <c r="D923" s="1">
        <v>7.0000000000000001E-3</v>
      </c>
      <c r="E923">
        <v>36.4</v>
      </c>
      <c r="F923" t="s">
        <v>651</v>
      </c>
      <c r="G923" t="s">
        <v>15</v>
      </c>
      <c r="H923" t="s">
        <v>32</v>
      </c>
      <c r="I923">
        <v>31.98</v>
      </c>
      <c r="J923" t="s">
        <v>652</v>
      </c>
      <c r="K923" t="s">
        <v>652</v>
      </c>
    </row>
    <row r="924" spans="1:11" x14ac:dyDescent="0.5">
      <c r="A924" t="s">
        <v>1893</v>
      </c>
      <c r="B924" t="s">
        <v>1051</v>
      </c>
      <c r="C924" t="s">
        <v>1894</v>
      </c>
      <c r="D924" s="1">
        <v>2.63E-2</v>
      </c>
      <c r="E924">
        <v>65.8</v>
      </c>
      <c r="F924" t="s">
        <v>651</v>
      </c>
      <c r="G924" t="s">
        <v>254</v>
      </c>
      <c r="H924" t="s">
        <v>32</v>
      </c>
      <c r="I924">
        <v>18.79</v>
      </c>
      <c r="J924" t="s">
        <v>652</v>
      </c>
      <c r="K924" t="s">
        <v>652</v>
      </c>
    </row>
    <row r="925" spans="1:11" x14ac:dyDescent="0.5">
      <c r="A925" t="s">
        <v>1895</v>
      </c>
      <c r="B925" t="s">
        <v>1051</v>
      </c>
      <c r="C925" t="s">
        <v>1896</v>
      </c>
      <c r="D925" s="1">
        <v>1.06E-2</v>
      </c>
      <c r="E925">
        <v>40.9</v>
      </c>
      <c r="F925" t="s">
        <v>651</v>
      </c>
      <c r="G925" t="s">
        <v>16</v>
      </c>
      <c r="H925" t="s">
        <v>506</v>
      </c>
      <c r="I925">
        <v>25.03</v>
      </c>
      <c r="J925" t="s">
        <v>652</v>
      </c>
      <c r="K925" t="s">
        <v>652</v>
      </c>
    </row>
    <row r="926" spans="1:11" x14ac:dyDescent="0.5">
      <c r="A926" t="s">
        <v>1897</v>
      </c>
      <c r="B926" t="s">
        <v>1051</v>
      </c>
      <c r="C926" t="s">
        <v>1898</v>
      </c>
      <c r="D926" s="1">
        <v>1.0200000000000001E-2</v>
      </c>
      <c r="E926">
        <v>41.6</v>
      </c>
      <c r="F926" t="s">
        <v>651</v>
      </c>
      <c r="G926" t="s">
        <v>16</v>
      </c>
      <c r="H926" t="s">
        <v>506</v>
      </c>
      <c r="I926">
        <v>24.02</v>
      </c>
      <c r="J926" t="s">
        <v>652</v>
      </c>
      <c r="K926" t="s">
        <v>652</v>
      </c>
    </row>
    <row r="927" spans="1:11" x14ac:dyDescent="0.5">
      <c r="A927" t="s">
        <v>1899</v>
      </c>
      <c r="B927" t="s">
        <v>1051</v>
      </c>
      <c r="C927" t="s">
        <v>1900</v>
      </c>
      <c r="D927" s="1">
        <v>4.2700000000000002E-2</v>
      </c>
      <c r="E927">
        <v>28.1</v>
      </c>
      <c r="F927" t="s">
        <v>651</v>
      </c>
      <c r="G927" t="s">
        <v>16</v>
      </c>
      <c r="H927" t="s">
        <v>506</v>
      </c>
      <c r="I927">
        <v>10.7</v>
      </c>
      <c r="J927" t="s">
        <v>652</v>
      </c>
      <c r="K927" t="s">
        <v>652</v>
      </c>
    </row>
    <row r="928" spans="1:11" x14ac:dyDescent="0.5">
      <c r="A928" t="s">
        <v>1901</v>
      </c>
      <c r="B928" t="s">
        <v>1051</v>
      </c>
      <c r="C928" t="s">
        <v>1902</v>
      </c>
      <c r="D928" s="1">
        <v>4.9799999999999997E-2</v>
      </c>
      <c r="E928">
        <v>53.5</v>
      </c>
      <c r="F928" t="s">
        <v>651</v>
      </c>
      <c r="G928" t="s">
        <v>254</v>
      </c>
      <c r="H928" t="s">
        <v>254</v>
      </c>
      <c r="I928">
        <v>35.119999999999997</v>
      </c>
      <c r="J928" t="s">
        <v>652</v>
      </c>
      <c r="K928" t="s">
        <v>652</v>
      </c>
    </row>
    <row r="929" spans="1:11" x14ac:dyDescent="0.5">
      <c r="A929" t="s">
        <v>1903</v>
      </c>
      <c r="B929" t="s">
        <v>1051</v>
      </c>
      <c r="C929" t="s">
        <v>1904</v>
      </c>
      <c r="D929" s="1">
        <v>1.0200000000000001E-2</v>
      </c>
      <c r="E929">
        <v>40.700000000000003</v>
      </c>
      <c r="F929" t="s">
        <v>651</v>
      </c>
      <c r="G929" t="s">
        <v>16</v>
      </c>
      <c r="H929" t="s">
        <v>506</v>
      </c>
      <c r="I929">
        <v>24.37</v>
      </c>
      <c r="J929" t="s">
        <v>652</v>
      </c>
      <c r="K929" t="s">
        <v>652</v>
      </c>
    </row>
    <row r="930" spans="1:11" x14ac:dyDescent="0.5">
      <c r="A930" t="s">
        <v>1905</v>
      </c>
      <c r="B930" t="s">
        <v>1051</v>
      </c>
      <c r="C930" t="s">
        <v>1906</v>
      </c>
      <c r="D930" s="1">
        <v>1.01E-2</v>
      </c>
      <c r="E930">
        <v>41.6</v>
      </c>
      <c r="F930" t="s">
        <v>651</v>
      </c>
      <c r="G930" t="s">
        <v>15</v>
      </c>
      <c r="H930" t="s">
        <v>506</v>
      </c>
      <c r="I930">
        <v>23</v>
      </c>
      <c r="J930" t="s">
        <v>652</v>
      </c>
      <c r="K930" t="s">
        <v>652</v>
      </c>
    </row>
    <row r="931" spans="1:11" x14ac:dyDescent="0.5">
      <c r="A931" t="s">
        <v>1907</v>
      </c>
      <c r="B931" t="s">
        <v>1051</v>
      </c>
      <c r="C931" t="s">
        <v>1908</v>
      </c>
      <c r="D931" s="1">
        <v>8.5000000000000006E-3</v>
      </c>
      <c r="E931">
        <v>39.5</v>
      </c>
      <c r="F931" t="s">
        <v>651</v>
      </c>
      <c r="G931" t="s">
        <v>16</v>
      </c>
      <c r="H931" t="s">
        <v>506</v>
      </c>
      <c r="I931">
        <v>25.61</v>
      </c>
      <c r="J931" t="s">
        <v>652</v>
      </c>
      <c r="K931" t="s">
        <v>652</v>
      </c>
    </row>
    <row r="932" spans="1:11" x14ac:dyDescent="0.5">
      <c r="A932" t="s">
        <v>1909</v>
      </c>
      <c r="B932" t="s">
        <v>1051</v>
      </c>
      <c r="C932" t="s">
        <v>1910</v>
      </c>
      <c r="D932" s="1">
        <v>3.73E-2</v>
      </c>
      <c r="E932">
        <v>30.2</v>
      </c>
      <c r="F932" t="s">
        <v>651</v>
      </c>
      <c r="G932" t="s">
        <v>16</v>
      </c>
      <c r="H932" t="s">
        <v>506</v>
      </c>
      <c r="I932">
        <v>6.6</v>
      </c>
      <c r="J932" t="s">
        <v>652</v>
      </c>
      <c r="K932" t="s">
        <v>652</v>
      </c>
    </row>
    <row r="933" spans="1:11" x14ac:dyDescent="0.5">
      <c r="A933" t="s">
        <v>1911</v>
      </c>
      <c r="B933" t="s">
        <v>1051</v>
      </c>
      <c r="C933" t="s">
        <v>1912</v>
      </c>
      <c r="D933" s="1">
        <v>5.7999999999999996E-3</v>
      </c>
      <c r="E933">
        <v>29.9</v>
      </c>
      <c r="F933" t="s">
        <v>651</v>
      </c>
      <c r="G933" t="s">
        <v>16</v>
      </c>
      <c r="H933" t="s">
        <v>16</v>
      </c>
      <c r="I933">
        <v>38.82</v>
      </c>
      <c r="J933" t="s">
        <v>652</v>
      </c>
      <c r="K933" t="s">
        <v>652</v>
      </c>
    </row>
    <row r="934" spans="1:11" x14ac:dyDescent="0.5">
      <c r="A934" t="s">
        <v>1913</v>
      </c>
      <c r="B934" t="s">
        <v>1051</v>
      </c>
      <c r="C934" t="s">
        <v>1914</v>
      </c>
      <c r="D934" s="1">
        <v>3.5999999999999999E-3</v>
      </c>
      <c r="E934">
        <v>33.6</v>
      </c>
      <c r="F934" t="s">
        <v>651</v>
      </c>
      <c r="G934" t="s">
        <v>15</v>
      </c>
      <c r="H934" t="s">
        <v>32</v>
      </c>
      <c r="I934">
        <v>33.380000000000003</v>
      </c>
      <c r="J934" t="s">
        <v>652</v>
      </c>
      <c r="K934" t="s">
        <v>652</v>
      </c>
    </row>
    <row r="935" spans="1:11" x14ac:dyDescent="0.5">
      <c r="A935" t="s">
        <v>1915</v>
      </c>
      <c r="B935" t="s">
        <v>1051</v>
      </c>
      <c r="C935" t="s">
        <v>1916</v>
      </c>
      <c r="D935" s="1">
        <v>1.09E-2</v>
      </c>
      <c r="E935">
        <v>40.4</v>
      </c>
      <c r="F935" t="s">
        <v>651</v>
      </c>
      <c r="G935" t="s">
        <v>15</v>
      </c>
      <c r="H935" t="s">
        <v>506</v>
      </c>
      <c r="I935">
        <v>23.73</v>
      </c>
      <c r="J935" t="s">
        <v>652</v>
      </c>
      <c r="K935" t="s">
        <v>652</v>
      </c>
    </row>
    <row r="936" spans="1:11" x14ac:dyDescent="0.5">
      <c r="A936" t="s">
        <v>1917</v>
      </c>
      <c r="B936" t="s">
        <v>1051</v>
      </c>
      <c r="C936" t="s">
        <v>1918</v>
      </c>
      <c r="D936" s="1">
        <v>1.24E-2</v>
      </c>
      <c r="E936">
        <v>37</v>
      </c>
      <c r="F936" t="s">
        <v>651</v>
      </c>
      <c r="G936" t="s">
        <v>16</v>
      </c>
      <c r="H936" t="s">
        <v>32</v>
      </c>
      <c r="I936">
        <v>27.82</v>
      </c>
      <c r="J936" t="s">
        <v>652</v>
      </c>
      <c r="K936" t="s">
        <v>652</v>
      </c>
    </row>
    <row r="937" spans="1:11" x14ac:dyDescent="0.5">
      <c r="A937" t="s">
        <v>1919</v>
      </c>
      <c r="B937" t="s">
        <v>1051</v>
      </c>
      <c r="C937" t="s">
        <v>1920</v>
      </c>
      <c r="D937" s="1">
        <v>3.7199999999999997E-2</v>
      </c>
      <c r="E937">
        <v>24.6</v>
      </c>
      <c r="F937" t="s">
        <v>651</v>
      </c>
      <c r="G937" t="s">
        <v>15</v>
      </c>
      <c r="H937" t="s">
        <v>506</v>
      </c>
      <c r="I937">
        <v>12.7</v>
      </c>
      <c r="J937" t="s">
        <v>652</v>
      </c>
      <c r="K937" t="s">
        <v>652</v>
      </c>
    </row>
    <row r="938" spans="1:11" x14ac:dyDescent="0.5">
      <c r="A938" t="s">
        <v>1921</v>
      </c>
      <c r="B938" t="s">
        <v>1051</v>
      </c>
      <c r="C938" t="s">
        <v>1922</v>
      </c>
      <c r="D938" s="1">
        <v>6.3E-3</v>
      </c>
      <c r="E938">
        <v>45.4</v>
      </c>
      <c r="F938" t="s">
        <v>651</v>
      </c>
      <c r="G938" t="s">
        <v>16</v>
      </c>
      <c r="H938" t="s">
        <v>32</v>
      </c>
      <c r="I938">
        <v>15.38</v>
      </c>
      <c r="J938" t="s">
        <v>652</v>
      </c>
      <c r="K938" t="s">
        <v>652</v>
      </c>
    </row>
    <row r="939" spans="1:11" x14ac:dyDescent="0.5">
      <c r="A939" t="s">
        <v>1923</v>
      </c>
      <c r="B939" t="s">
        <v>1051</v>
      </c>
      <c r="C939" t="s">
        <v>1924</v>
      </c>
      <c r="D939" s="1">
        <v>2.4500000000000001E-2</v>
      </c>
      <c r="E939">
        <v>61.3</v>
      </c>
      <c r="F939" t="s">
        <v>651</v>
      </c>
      <c r="G939" t="s">
        <v>254</v>
      </c>
      <c r="H939" t="s">
        <v>32</v>
      </c>
      <c r="I939">
        <v>20.350000000000001</v>
      </c>
      <c r="J939" t="s">
        <v>652</v>
      </c>
      <c r="K939" t="s">
        <v>652</v>
      </c>
    </row>
    <row r="940" spans="1:11" x14ac:dyDescent="0.5">
      <c r="A940" t="s">
        <v>1925</v>
      </c>
      <c r="B940" t="s">
        <v>1051</v>
      </c>
      <c r="C940" t="s">
        <v>1926</v>
      </c>
      <c r="D940" s="1">
        <v>1.2699999999999999E-2</v>
      </c>
      <c r="E940">
        <v>26.5</v>
      </c>
      <c r="F940" t="s">
        <v>651</v>
      </c>
      <c r="G940" t="s">
        <v>16</v>
      </c>
      <c r="H940" t="s">
        <v>16</v>
      </c>
      <c r="I940">
        <v>41.03</v>
      </c>
      <c r="J940" t="s">
        <v>652</v>
      </c>
      <c r="K940" t="s">
        <v>652</v>
      </c>
    </row>
    <row r="941" spans="1:11" x14ac:dyDescent="0.5">
      <c r="A941" t="s">
        <v>1927</v>
      </c>
      <c r="B941" t="s">
        <v>1051</v>
      </c>
      <c r="C941" t="s">
        <v>1928</v>
      </c>
      <c r="D941" s="1">
        <v>2.4899999999999999E-2</v>
      </c>
      <c r="E941">
        <v>62.3</v>
      </c>
      <c r="F941" t="s">
        <v>651</v>
      </c>
      <c r="G941" t="s">
        <v>254</v>
      </c>
      <c r="H941" t="s">
        <v>32</v>
      </c>
      <c r="I941">
        <v>18.649999999999999</v>
      </c>
      <c r="J941" t="s">
        <v>652</v>
      </c>
      <c r="K941" t="s">
        <v>652</v>
      </c>
    </row>
    <row r="942" spans="1:11" x14ac:dyDescent="0.5">
      <c r="A942" t="s">
        <v>1929</v>
      </c>
      <c r="B942" t="s">
        <v>1051</v>
      </c>
      <c r="C942" t="s">
        <v>1930</v>
      </c>
      <c r="D942" s="1">
        <v>2.6499999999999999E-2</v>
      </c>
      <c r="E942">
        <v>32.700000000000003</v>
      </c>
      <c r="F942" t="s">
        <v>651</v>
      </c>
      <c r="G942" t="s">
        <v>253</v>
      </c>
      <c r="H942" t="s">
        <v>16</v>
      </c>
      <c r="I942">
        <v>59.9</v>
      </c>
      <c r="J942" t="s">
        <v>652</v>
      </c>
      <c r="K942" t="s">
        <v>652</v>
      </c>
    </row>
    <row r="943" spans="1:11" x14ac:dyDescent="0.5">
      <c r="A943" t="s">
        <v>1931</v>
      </c>
      <c r="B943" t="s">
        <v>1051</v>
      </c>
      <c r="C943" t="s">
        <v>1932</v>
      </c>
      <c r="D943" s="1">
        <v>2.4299999999999999E-2</v>
      </c>
      <c r="E943">
        <v>60.8</v>
      </c>
      <c r="F943" t="s">
        <v>651</v>
      </c>
      <c r="G943" t="s">
        <v>254</v>
      </c>
      <c r="H943" t="s">
        <v>32</v>
      </c>
      <c r="I943">
        <v>20.309999999999999</v>
      </c>
      <c r="J943" t="s">
        <v>652</v>
      </c>
      <c r="K943" t="s">
        <v>652</v>
      </c>
    </row>
    <row r="944" spans="1:11" x14ac:dyDescent="0.5">
      <c r="A944" t="s">
        <v>1933</v>
      </c>
      <c r="B944" t="s">
        <v>1051</v>
      </c>
      <c r="C944" t="s">
        <v>1934</v>
      </c>
      <c r="D944" s="1">
        <v>3.9600000000000003E-2</v>
      </c>
      <c r="E944">
        <v>27.6</v>
      </c>
      <c r="F944" t="s">
        <v>651</v>
      </c>
      <c r="G944" t="s">
        <v>16</v>
      </c>
      <c r="H944" t="s">
        <v>506</v>
      </c>
      <c r="I944">
        <v>6.6</v>
      </c>
      <c r="J944" t="s">
        <v>652</v>
      </c>
      <c r="K944" t="s">
        <v>652</v>
      </c>
    </row>
    <row r="945" spans="1:11" x14ac:dyDescent="0.5">
      <c r="A945" t="s">
        <v>1935</v>
      </c>
      <c r="B945" t="s">
        <v>1051</v>
      </c>
      <c r="C945" t="s">
        <v>1936</v>
      </c>
      <c r="D945" s="1">
        <v>3.8800000000000001E-2</v>
      </c>
      <c r="E945">
        <v>24.7</v>
      </c>
      <c r="F945" t="s">
        <v>651</v>
      </c>
      <c r="G945" t="s">
        <v>16</v>
      </c>
      <c r="H945" t="s">
        <v>506</v>
      </c>
      <c r="I945">
        <v>10.33</v>
      </c>
      <c r="J945" t="s">
        <v>652</v>
      </c>
      <c r="K945" t="s">
        <v>652</v>
      </c>
    </row>
    <row r="946" spans="1:11" x14ac:dyDescent="0.5">
      <c r="A946" t="s">
        <v>1937</v>
      </c>
      <c r="B946" t="s">
        <v>1051</v>
      </c>
      <c r="C946" t="s">
        <v>1938</v>
      </c>
      <c r="D946" s="1">
        <v>2.7E-2</v>
      </c>
      <c r="E946">
        <v>33.5</v>
      </c>
      <c r="F946" t="s">
        <v>651</v>
      </c>
      <c r="G946" t="s">
        <v>253</v>
      </c>
      <c r="H946" t="s">
        <v>16</v>
      </c>
      <c r="I946">
        <v>57.72</v>
      </c>
      <c r="J946" t="s">
        <v>652</v>
      </c>
      <c r="K946" t="s">
        <v>652</v>
      </c>
    </row>
    <row r="947" spans="1:11" x14ac:dyDescent="0.5">
      <c r="A947" t="s">
        <v>1939</v>
      </c>
      <c r="B947" t="s">
        <v>1051</v>
      </c>
      <c r="C947" t="s">
        <v>1940</v>
      </c>
      <c r="D947" s="1">
        <v>6.3E-3</v>
      </c>
      <c r="E947">
        <v>33.1</v>
      </c>
      <c r="F947" t="s">
        <v>651</v>
      </c>
      <c r="G947" t="s">
        <v>15</v>
      </c>
      <c r="H947" t="s">
        <v>506</v>
      </c>
      <c r="I947">
        <v>30.17</v>
      </c>
      <c r="J947" t="s">
        <v>652</v>
      </c>
      <c r="K947" t="s">
        <v>652</v>
      </c>
    </row>
    <row r="948" spans="1:11" x14ac:dyDescent="0.5">
      <c r="A948" t="s">
        <v>1941</v>
      </c>
      <c r="B948" t="s">
        <v>1051</v>
      </c>
      <c r="C948" t="s">
        <v>1942</v>
      </c>
      <c r="D948" s="1">
        <v>2.7E-2</v>
      </c>
      <c r="E948">
        <v>31.9</v>
      </c>
      <c r="F948" t="s">
        <v>651</v>
      </c>
      <c r="G948" t="s">
        <v>253</v>
      </c>
      <c r="H948" t="s">
        <v>16</v>
      </c>
      <c r="I948">
        <v>59.64</v>
      </c>
      <c r="J948" t="s">
        <v>652</v>
      </c>
      <c r="K948" t="s">
        <v>652</v>
      </c>
    </row>
    <row r="949" spans="1:11" x14ac:dyDescent="0.5">
      <c r="A949" t="s">
        <v>1943</v>
      </c>
      <c r="B949" t="s">
        <v>1051</v>
      </c>
      <c r="C949" t="s">
        <v>1944</v>
      </c>
      <c r="D949" s="1">
        <v>2.6800000000000001E-2</v>
      </c>
      <c r="E949">
        <v>26.8</v>
      </c>
      <c r="F949" t="s">
        <v>651</v>
      </c>
      <c r="G949" t="s">
        <v>16</v>
      </c>
      <c r="H949" t="s">
        <v>506</v>
      </c>
      <c r="I949">
        <v>6.6</v>
      </c>
      <c r="J949" t="s">
        <v>652</v>
      </c>
      <c r="K949" t="s">
        <v>652</v>
      </c>
    </row>
    <row r="950" spans="1:11" x14ac:dyDescent="0.5">
      <c r="A950" t="s">
        <v>1945</v>
      </c>
      <c r="B950" t="s">
        <v>1051</v>
      </c>
      <c r="C950" t="s">
        <v>1946</v>
      </c>
      <c r="D950" s="1">
        <v>2.5700000000000001E-2</v>
      </c>
      <c r="E950">
        <v>39.700000000000003</v>
      </c>
      <c r="F950" t="s">
        <v>651</v>
      </c>
      <c r="G950" t="s">
        <v>506</v>
      </c>
      <c r="H950" t="s">
        <v>16</v>
      </c>
      <c r="I950">
        <v>48.5</v>
      </c>
      <c r="J950" t="s">
        <v>652</v>
      </c>
      <c r="K950" t="s">
        <v>652</v>
      </c>
    </row>
    <row r="951" spans="1:11" x14ac:dyDescent="0.5">
      <c r="A951" t="s">
        <v>1947</v>
      </c>
      <c r="B951" t="s">
        <v>1051</v>
      </c>
      <c r="C951" t="s">
        <v>1948</v>
      </c>
      <c r="D951" s="1">
        <v>1.3299999999999999E-2</v>
      </c>
      <c r="E951">
        <v>38.9</v>
      </c>
      <c r="F951" t="s">
        <v>651</v>
      </c>
      <c r="G951" t="s">
        <v>16</v>
      </c>
      <c r="H951" t="s">
        <v>506</v>
      </c>
      <c r="I951">
        <v>21.52</v>
      </c>
      <c r="J951" t="s">
        <v>652</v>
      </c>
      <c r="K951" t="s">
        <v>652</v>
      </c>
    </row>
    <row r="952" spans="1:11" x14ac:dyDescent="0.5">
      <c r="A952" t="s">
        <v>1949</v>
      </c>
      <c r="B952" t="s">
        <v>1051</v>
      </c>
      <c r="C952" t="s">
        <v>1950</v>
      </c>
      <c r="D952" s="1">
        <v>9.1000000000000004E-3</v>
      </c>
      <c r="E952">
        <v>41.6</v>
      </c>
      <c r="F952" t="s">
        <v>651</v>
      </c>
      <c r="G952" t="s">
        <v>15</v>
      </c>
      <c r="H952" t="s">
        <v>32</v>
      </c>
      <c r="I952">
        <v>17.440000000000001</v>
      </c>
      <c r="J952" t="s">
        <v>652</v>
      </c>
      <c r="K952" t="s">
        <v>652</v>
      </c>
    </row>
    <row r="953" spans="1:11" x14ac:dyDescent="0.5">
      <c r="A953" t="s">
        <v>1951</v>
      </c>
      <c r="B953" t="s">
        <v>1051</v>
      </c>
      <c r="C953" t="s">
        <v>1952</v>
      </c>
      <c r="D953" s="1">
        <v>3.7999999999999999E-2</v>
      </c>
      <c r="E953">
        <v>23.1</v>
      </c>
      <c r="F953" t="s">
        <v>651</v>
      </c>
      <c r="G953" t="s">
        <v>15</v>
      </c>
      <c r="H953" t="s">
        <v>506</v>
      </c>
      <c r="I953">
        <v>11.09</v>
      </c>
      <c r="J953" t="s">
        <v>652</v>
      </c>
      <c r="K953" t="s">
        <v>652</v>
      </c>
    </row>
    <row r="954" spans="1:11" x14ac:dyDescent="0.5">
      <c r="A954" t="s">
        <v>1953</v>
      </c>
      <c r="B954" t="s">
        <v>1051</v>
      </c>
      <c r="C954" t="s">
        <v>1954</v>
      </c>
      <c r="D954" s="1">
        <v>4.4999999999999997E-3</v>
      </c>
      <c r="E954">
        <v>32.299999999999997</v>
      </c>
      <c r="F954" t="s">
        <v>651</v>
      </c>
      <c r="G954" t="s">
        <v>15</v>
      </c>
      <c r="H954" t="s">
        <v>32</v>
      </c>
      <c r="I954">
        <v>29.74</v>
      </c>
      <c r="J954" t="s">
        <v>652</v>
      </c>
      <c r="K954" t="s">
        <v>652</v>
      </c>
    </row>
    <row r="955" spans="1:11" x14ac:dyDescent="0.5">
      <c r="A955" t="s">
        <v>1955</v>
      </c>
      <c r="B955" t="s">
        <v>1051</v>
      </c>
      <c r="C955" t="s">
        <v>1956</v>
      </c>
      <c r="D955" s="1">
        <v>4.1099999999999998E-2</v>
      </c>
      <c r="E955">
        <v>25.8</v>
      </c>
      <c r="F955" t="s">
        <v>651</v>
      </c>
      <c r="G955" t="s">
        <v>16</v>
      </c>
      <c r="H955" t="s">
        <v>506</v>
      </c>
      <c r="I955">
        <v>6.6</v>
      </c>
      <c r="J955" t="s">
        <v>652</v>
      </c>
      <c r="K955" t="s">
        <v>652</v>
      </c>
    </row>
    <row r="956" spans="1:11" x14ac:dyDescent="0.5">
      <c r="A956" t="s">
        <v>1957</v>
      </c>
      <c r="B956" t="s">
        <v>1051</v>
      </c>
      <c r="C956" t="s">
        <v>1958</v>
      </c>
      <c r="D956" s="1">
        <v>1.6799999999999999E-2</v>
      </c>
      <c r="E956">
        <v>28.9</v>
      </c>
      <c r="F956" t="s">
        <v>651</v>
      </c>
      <c r="G956" t="s">
        <v>16</v>
      </c>
      <c r="H956" t="s">
        <v>32</v>
      </c>
      <c r="I956">
        <v>33.99</v>
      </c>
      <c r="J956" t="s">
        <v>652</v>
      </c>
      <c r="K956" t="s">
        <v>652</v>
      </c>
    </row>
    <row r="957" spans="1:11" x14ac:dyDescent="0.5">
      <c r="A957" t="s">
        <v>1959</v>
      </c>
      <c r="B957" t="s">
        <v>1051</v>
      </c>
      <c r="C957" t="s">
        <v>1960</v>
      </c>
      <c r="D957" s="1">
        <v>2.8299999999999999E-2</v>
      </c>
      <c r="E957">
        <v>22.5</v>
      </c>
      <c r="F957" t="s">
        <v>651</v>
      </c>
      <c r="G957" t="s">
        <v>16</v>
      </c>
      <c r="H957" t="s">
        <v>506</v>
      </c>
      <c r="I957">
        <v>10.88</v>
      </c>
      <c r="J957" t="s">
        <v>652</v>
      </c>
      <c r="K957" t="s">
        <v>652</v>
      </c>
    </row>
    <row r="958" spans="1:11" x14ac:dyDescent="0.5">
      <c r="A958" t="s">
        <v>1961</v>
      </c>
      <c r="B958" t="s">
        <v>1051</v>
      </c>
      <c r="C958" t="s">
        <v>1962</v>
      </c>
      <c r="D958" s="1">
        <v>4.5999999999999999E-3</v>
      </c>
      <c r="E958">
        <v>31.5</v>
      </c>
      <c r="F958" t="s">
        <v>651</v>
      </c>
      <c r="G958" t="s">
        <v>15</v>
      </c>
      <c r="H958" t="s">
        <v>506</v>
      </c>
      <c r="I958">
        <v>30.01</v>
      </c>
      <c r="J958" t="s">
        <v>652</v>
      </c>
      <c r="K958" t="s">
        <v>652</v>
      </c>
    </row>
    <row r="959" spans="1:11" x14ac:dyDescent="0.5">
      <c r="A959" t="s">
        <v>1963</v>
      </c>
      <c r="B959" t="s">
        <v>1051</v>
      </c>
      <c r="C959" t="s">
        <v>1964</v>
      </c>
      <c r="D959" s="1">
        <v>9.7999999999999997E-3</v>
      </c>
      <c r="E959">
        <v>42.3</v>
      </c>
      <c r="F959" t="s">
        <v>651</v>
      </c>
      <c r="G959" t="s">
        <v>16</v>
      </c>
      <c r="H959" t="s">
        <v>32</v>
      </c>
      <c r="I959">
        <v>14.77</v>
      </c>
      <c r="J959" t="s">
        <v>652</v>
      </c>
      <c r="K959" t="s">
        <v>652</v>
      </c>
    </row>
    <row r="960" spans="1:11" x14ac:dyDescent="0.5">
      <c r="A960" t="s">
        <v>1965</v>
      </c>
      <c r="B960" t="s">
        <v>1051</v>
      </c>
      <c r="C960" t="s">
        <v>1966</v>
      </c>
      <c r="D960" s="1">
        <v>8.8000000000000005E-3</v>
      </c>
      <c r="E960">
        <v>37.9</v>
      </c>
      <c r="F960" t="s">
        <v>651</v>
      </c>
      <c r="G960" t="s">
        <v>16</v>
      </c>
      <c r="H960" t="s">
        <v>506</v>
      </c>
      <c r="I960">
        <v>20.9</v>
      </c>
      <c r="J960" t="s">
        <v>652</v>
      </c>
      <c r="K960" t="s">
        <v>652</v>
      </c>
    </row>
    <row r="961" spans="1:11" x14ac:dyDescent="0.5">
      <c r="A961" t="s">
        <v>1967</v>
      </c>
      <c r="B961" t="s">
        <v>1051</v>
      </c>
      <c r="C961" t="s">
        <v>1968</v>
      </c>
      <c r="D961" s="1">
        <v>2.7199999999999998E-2</v>
      </c>
      <c r="E961">
        <v>57.5</v>
      </c>
      <c r="F961" t="s">
        <v>651</v>
      </c>
      <c r="G961" t="s">
        <v>506</v>
      </c>
      <c r="H961" t="s">
        <v>32</v>
      </c>
      <c r="I961">
        <v>20.85</v>
      </c>
      <c r="J961" t="s">
        <v>652</v>
      </c>
      <c r="K961" t="s">
        <v>652</v>
      </c>
    </row>
    <row r="962" spans="1:11" x14ac:dyDescent="0.5">
      <c r="A962" t="s">
        <v>1969</v>
      </c>
      <c r="B962" t="s">
        <v>1051</v>
      </c>
      <c r="C962" t="s">
        <v>1970</v>
      </c>
      <c r="D962" s="1">
        <v>2.24E-2</v>
      </c>
      <c r="E962">
        <v>56</v>
      </c>
      <c r="F962" t="s">
        <v>651</v>
      </c>
      <c r="G962" t="s">
        <v>254</v>
      </c>
      <c r="H962" t="s">
        <v>32</v>
      </c>
      <c r="I962">
        <v>22.67</v>
      </c>
      <c r="J962" t="s">
        <v>652</v>
      </c>
      <c r="K962" t="s">
        <v>652</v>
      </c>
    </row>
    <row r="963" spans="1:11" x14ac:dyDescent="0.5">
      <c r="A963" t="s">
        <v>1971</v>
      </c>
      <c r="B963" t="s">
        <v>1051</v>
      </c>
      <c r="C963" t="s">
        <v>1972</v>
      </c>
      <c r="D963" s="1">
        <v>2.7400000000000001E-2</v>
      </c>
      <c r="E963">
        <v>24.4</v>
      </c>
      <c r="F963" t="s">
        <v>651</v>
      </c>
      <c r="G963" t="s">
        <v>16</v>
      </c>
      <c r="H963" t="s">
        <v>506</v>
      </c>
      <c r="I963">
        <v>6.6</v>
      </c>
      <c r="J963" t="s">
        <v>652</v>
      </c>
      <c r="K963" t="s">
        <v>652</v>
      </c>
    </row>
    <row r="964" spans="1:11" x14ac:dyDescent="0.5">
      <c r="A964" t="s">
        <v>1973</v>
      </c>
      <c r="B964" t="s">
        <v>1051</v>
      </c>
      <c r="C964" t="s">
        <v>1974</v>
      </c>
      <c r="D964" s="1">
        <v>3.4000000000000002E-2</v>
      </c>
      <c r="E964">
        <v>24.4</v>
      </c>
      <c r="F964" t="s">
        <v>651</v>
      </c>
      <c r="G964" t="s">
        <v>16</v>
      </c>
      <c r="H964" t="s">
        <v>506</v>
      </c>
      <c r="I964">
        <v>6.6</v>
      </c>
      <c r="J964" t="s">
        <v>652</v>
      </c>
      <c r="K964" t="s">
        <v>652</v>
      </c>
    </row>
    <row r="965" spans="1:11" x14ac:dyDescent="0.5">
      <c r="A965" t="s">
        <v>1975</v>
      </c>
      <c r="B965" t="s">
        <v>1051</v>
      </c>
      <c r="C965" t="s">
        <v>1976</v>
      </c>
      <c r="D965" s="1">
        <v>3.8899999999999997E-2</v>
      </c>
      <c r="E965">
        <v>24.3</v>
      </c>
      <c r="F965" t="s">
        <v>651</v>
      </c>
      <c r="G965" t="s">
        <v>16</v>
      </c>
      <c r="H965" t="s">
        <v>506</v>
      </c>
      <c r="I965">
        <v>6.6</v>
      </c>
      <c r="J965" t="s">
        <v>652</v>
      </c>
      <c r="K965" t="s">
        <v>652</v>
      </c>
    </row>
    <row r="966" spans="1:11" x14ac:dyDescent="0.5">
      <c r="A966" t="s">
        <v>1977</v>
      </c>
      <c r="B966" t="s">
        <v>1051</v>
      </c>
      <c r="C966" t="s">
        <v>1978</v>
      </c>
      <c r="D966" s="1">
        <v>3.7100000000000001E-2</v>
      </c>
      <c r="E966">
        <v>10.1</v>
      </c>
      <c r="F966" t="s">
        <v>651</v>
      </c>
      <c r="G966" t="s">
        <v>16</v>
      </c>
      <c r="H966" t="s">
        <v>16</v>
      </c>
      <c r="I966">
        <v>26.39</v>
      </c>
      <c r="J966" t="s">
        <v>652</v>
      </c>
      <c r="K966" t="s">
        <v>652</v>
      </c>
    </row>
    <row r="967" spans="1:11" x14ac:dyDescent="0.5">
      <c r="A967" t="s">
        <v>1979</v>
      </c>
      <c r="B967" t="s">
        <v>1051</v>
      </c>
      <c r="C967" t="s">
        <v>1980</v>
      </c>
      <c r="D967" s="1">
        <v>6.1000000000000004E-3</v>
      </c>
      <c r="E967">
        <v>15.2</v>
      </c>
      <c r="F967" t="s">
        <v>651</v>
      </c>
      <c r="G967" t="s">
        <v>15</v>
      </c>
      <c r="H967" t="s">
        <v>16</v>
      </c>
      <c r="I967">
        <v>49.9</v>
      </c>
      <c r="J967" t="s">
        <v>652</v>
      </c>
      <c r="K967" t="s">
        <v>652</v>
      </c>
    </row>
    <row r="968" spans="1:11" x14ac:dyDescent="0.5">
      <c r="A968" t="s">
        <v>1981</v>
      </c>
      <c r="B968" t="s">
        <v>1051</v>
      </c>
      <c r="C968" t="s">
        <v>1982</v>
      </c>
      <c r="D968" s="1">
        <v>3.8300000000000001E-2</v>
      </c>
      <c r="E968">
        <v>23.1</v>
      </c>
      <c r="F968" t="s">
        <v>651</v>
      </c>
      <c r="G968" t="s">
        <v>16</v>
      </c>
      <c r="H968" t="s">
        <v>506</v>
      </c>
      <c r="I968">
        <v>6.6</v>
      </c>
      <c r="J968" t="s">
        <v>652</v>
      </c>
      <c r="K968" t="s">
        <v>652</v>
      </c>
    </row>
    <row r="969" spans="1:11" x14ac:dyDescent="0.5">
      <c r="A969" t="s">
        <v>1983</v>
      </c>
      <c r="B969" t="s">
        <v>1051</v>
      </c>
      <c r="C969" t="s">
        <v>1984</v>
      </c>
      <c r="D969" s="1">
        <v>2.3E-2</v>
      </c>
      <c r="E969">
        <v>57.5</v>
      </c>
      <c r="F969" t="s">
        <v>651</v>
      </c>
      <c r="G969" t="s">
        <v>506</v>
      </c>
      <c r="H969" t="s">
        <v>32</v>
      </c>
      <c r="I969">
        <v>17.329999999999998</v>
      </c>
      <c r="J969" t="s">
        <v>652</v>
      </c>
      <c r="K969" t="s">
        <v>652</v>
      </c>
    </row>
    <row r="970" spans="1:11" x14ac:dyDescent="0.5">
      <c r="A970" t="s">
        <v>1985</v>
      </c>
      <c r="B970" t="s">
        <v>1051</v>
      </c>
      <c r="C970" t="s">
        <v>1986</v>
      </c>
      <c r="D970" s="1">
        <v>6.1999999999999998E-3</v>
      </c>
      <c r="E970">
        <v>25.7</v>
      </c>
      <c r="F970" t="s">
        <v>651</v>
      </c>
      <c r="G970" t="s">
        <v>15</v>
      </c>
      <c r="H970" t="s">
        <v>32</v>
      </c>
      <c r="I970">
        <v>33.39</v>
      </c>
      <c r="J970" t="s">
        <v>652</v>
      </c>
      <c r="K970" t="s">
        <v>652</v>
      </c>
    </row>
    <row r="971" spans="1:11" x14ac:dyDescent="0.5">
      <c r="A971" t="s">
        <v>1987</v>
      </c>
      <c r="B971" t="s">
        <v>1051</v>
      </c>
      <c r="C971" t="s">
        <v>1988</v>
      </c>
      <c r="D971" s="1">
        <v>1.23E-2</v>
      </c>
      <c r="E971">
        <v>32</v>
      </c>
      <c r="F971" t="s">
        <v>651</v>
      </c>
      <c r="G971" t="s">
        <v>16</v>
      </c>
      <c r="H971" t="s">
        <v>506</v>
      </c>
      <c r="I971">
        <v>24.16</v>
      </c>
      <c r="J971" t="s">
        <v>652</v>
      </c>
      <c r="K971" t="s">
        <v>652</v>
      </c>
    </row>
    <row r="972" spans="1:11" x14ac:dyDescent="0.5">
      <c r="A972" t="s">
        <v>1989</v>
      </c>
      <c r="B972" t="s">
        <v>1051</v>
      </c>
      <c r="C972" t="s">
        <v>1990</v>
      </c>
      <c r="D972" s="1">
        <v>2.4500000000000001E-2</v>
      </c>
      <c r="E972">
        <v>21.5</v>
      </c>
      <c r="F972" t="s">
        <v>651</v>
      </c>
      <c r="G972" t="s">
        <v>16</v>
      </c>
      <c r="H972" t="s">
        <v>506</v>
      </c>
      <c r="I972">
        <v>6.6</v>
      </c>
      <c r="J972" t="s">
        <v>652</v>
      </c>
      <c r="K972" t="s">
        <v>652</v>
      </c>
    </row>
    <row r="973" spans="1:11" x14ac:dyDescent="0.5">
      <c r="A973" t="s">
        <v>1991</v>
      </c>
      <c r="B973" t="s">
        <v>1051</v>
      </c>
      <c r="C973" t="s">
        <v>1992</v>
      </c>
      <c r="D973" s="1">
        <v>3.44E-2</v>
      </c>
      <c r="E973">
        <v>13.9</v>
      </c>
      <c r="F973" t="s">
        <v>651</v>
      </c>
      <c r="G973" t="s">
        <v>16</v>
      </c>
      <c r="H973" t="s">
        <v>506</v>
      </c>
      <c r="I973">
        <v>16.95</v>
      </c>
      <c r="J973" t="s">
        <v>652</v>
      </c>
      <c r="K973" t="s">
        <v>652</v>
      </c>
    </row>
    <row r="974" spans="1:11" x14ac:dyDescent="0.5">
      <c r="A974" t="s">
        <v>1993</v>
      </c>
      <c r="B974" t="s">
        <v>1051</v>
      </c>
      <c r="C974" t="s">
        <v>1994</v>
      </c>
      <c r="D974" s="1">
        <v>4.9399999999999999E-2</v>
      </c>
      <c r="E974">
        <v>53.6</v>
      </c>
      <c r="F974" t="s">
        <v>651</v>
      </c>
      <c r="G974" t="s">
        <v>254</v>
      </c>
      <c r="H974" t="s">
        <v>32</v>
      </c>
      <c r="I974">
        <v>21.37</v>
      </c>
      <c r="J974" t="s">
        <v>652</v>
      </c>
      <c r="K974" t="s">
        <v>652</v>
      </c>
    </row>
    <row r="975" spans="1:11" x14ac:dyDescent="0.5">
      <c r="A975" t="s">
        <v>1995</v>
      </c>
      <c r="B975" t="s">
        <v>1051</v>
      </c>
      <c r="C975" t="s">
        <v>1996</v>
      </c>
      <c r="D975" s="1">
        <v>4.6399999999999997E-2</v>
      </c>
      <c r="E975">
        <v>11.7</v>
      </c>
      <c r="F975" t="s">
        <v>651</v>
      </c>
      <c r="G975" t="s">
        <v>16</v>
      </c>
      <c r="H975" t="s">
        <v>16</v>
      </c>
      <c r="I975">
        <v>19.8</v>
      </c>
      <c r="J975" t="s">
        <v>652</v>
      </c>
      <c r="K975" t="s">
        <v>652</v>
      </c>
    </row>
    <row r="976" spans="1:11" x14ac:dyDescent="0.5">
      <c r="A976" t="s">
        <v>1997</v>
      </c>
      <c r="B976" t="s">
        <v>1051</v>
      </c>
      <c r="C976" t="s">
        <v>1998</v>
      </c>
      <c r="D976" s="1">
        <v>1.4800000000000001E-2</v>
      </c>
      <c r="E976">
        <v>31.1</v>
      </c>
      <c r="F976" t="s">
        <v>651</v>
      </c>
      <c r="G976" t="s">
        <v>16</v>
      </c>
      <c r="H976" t="s">
        <v>32</v>
      </c>
      <c r="I976">
        <v>24.31</v>
      </c>
      <c r="J976" t="s">
        <v>652</v>
      </c>
      <c r="K976" t="s">
        <v>652</v>
      </c>
    </row>
    <row r="977" spans="1:11" x14ac:dyDescent="0.5">
      <c r="A977" t="s">
        <v>1999</v>
      </c>
      <c r="B977" t="s">
        <v>1051</v>
      </c>
      <c r="C977" t="s">
        <v>2000</v>
      </c>
      <c r="D977" s="1">
        <v>2.2800000000000001E-2</v>
      </c>
      <c r="E977">
        <v>57</v>
      </c>
      <c r="F977" t="s">
        <v>651</v>
      </c>
      <c r="G977" t="s">
        <v>506</v>
      </c>
      <c r="H977" t="s">
        <v>32</v>
      </c>
      <c r="I977">
        <v>15.49</v>
      </c>
      <c r="J977" t="s">
        <v>652</v>
      </c>
      <c r="K977" t="s">
        <v>652</v>
      </c>
    </row>
    <row r="978" spans="1:11" x14ac:dyDescent="0.5">
      <c r="A978" t="s">
        <v>2001</v>
      </c>
      <c r="B978" t="s">
        <v>1051</v>
      </c>
      <c r="C978" t="s">
        <v>2002</v>
      </c>
      <c r="D978" s="1">
        <v>2.1499999999999998E-2</v>
      </c>
      <c r="E978">
        <v>53.8</v>
      </c>
      <c r="F978" t="s">
        <v>651</v>
      </c>
      <c r="G978" t="s">
        <v>254</v>
      </c>
      <c r="H978" t="s">
        <v>254</v>
      </c>
      <c r="I978">
        <v>19.8</v>
      </c>
      <c r="J978" t="s">
        <v>652</v>
      </c>
      <c r="K978" t="s">
        <v>652</v>
      </c>
    </row>
    <row r="979" spans="1:11" x14ac:dyDescent="0.5">
      <c r="A979" t="s">
        <v>2003</v>
      </c>
      <c r="B979" t="s">
        <v>1051</v>
      </c>
      <c r="C979" t="s">
        <v>2004</v>
      </c>
      <c r="D979" s="1">
        <v>5.7999999999999996E-3</v>
      </c>
      <c r="E979">
        <v>30</v>
      </c>
      <c r="F979" t="s">
        <v>651</v>
      </c>
      <c r="G979" t="s">
        <v>16</v>
      </c>
      <c r="H979" t="s">
        <v>32</v>
      </c>
      <c r="I979">
        <v>24.67</v>
      </c>
      <c r="J979" t="s">
        <v>652</v>
      </c>
      <c r="K979" t="s">
        <v>652</v>
      </c>
    </row>
    <row r="980" spans="1:11" x14ac:dyDescent="0.5">
      <c r="A980" t="s">
        <v>2005</v>
      </c>
      <c r="B980" t="s">
        <v>1051</v>
      </c>
      <c r="C980" t="s">
        <v>2006</v>
      </c>
      <c r="D980" s="1">
        <v>2.7900000000000001E-2</v>
      </c>
      <c r="E980">
        <v>11.7</v>
      </c>
      <c r="F980" t="s">
        <v>651</v>
      </c>
      <c r="G980" t="s">
        <v>16</v>
      </c>
      <c r="H980" t="s">
        <v>32</v>
      </c>
      <c r="I980">
        <v>18.09</v>
      </c>
      <c r="J980" t="s">
        <v>652</v>
      </c>
      <c r="K980" t="s">
        <v>652</v>
      </c>
    </row>
    <row r="981" spans="1:11" x14ac:dyDescent="0.5">
      <c r="A981" t="s">
        <v>2007</v>
      </c>
      <c r="B981" t="s">
        <v>1051</v>
      </c>
      <c r="C981" t="s">
        <v>2008</v>
      </c>
      <c r="D981" s="1">
        <v>2.6200000000000001E-2</v>
      </c>
      <c r="E981">
        <v>65.5</v>
      </c>
      <c r="F981" t="s">
        <v>651</v>
      </c>
      <c r="G981" t="s">
        <v>506</v>
      </c>
      <c r="H981" t="s">
        <v>506</v>
      </c>
      <c r="I981">
        <v>2.67</v>
      </c>
      <c r="J981" t="s">
        <v>652</v>
      </c>
      <c r="K981" t="s">
        <v>652</v>
      </c>
    </row>
    <row r="982" spans="1:11" x14ac:dyDescent="0.5">
      <c r="A982" t="s">
        <v>2009</v>
      </c>
      <c r="B982" t="s">
        <v>1051</v>
      </c>
      <c r="C982" t="s">
        <v>2010</v>
      </c>
      <c r="D982" s="1">
        <v>2.5700000000000001E-2</v>
      </c>
      <c r="E982">
        <v>64.2</v>
      </c>
      <c r="F982" t="s">
        <v>651</v>
      </c>
      <c r="G982" t="s">
        <v>506</v>
      </c>
      <c r="H982" t="s">
        <v>506</v>
      </c>
      <c r="I982">
        <v>3.76</v>
      </c>
      <c r="J982" t="s">
        <v>652</v>
      </c>
      <c r="K982" t="s">
        <v>652</v>
      </c>
    </row>
    <row r="983" spans="1:11" x14ac:dyDescent="0.5">
      <c r="A983" t="s">
        <v>2011</v>
      </c>
      <c r="B983" t="s">
        <v>1051</v>
      </c>
      <c r="C983" t="s">
        <v>2012</v>
      </c>
      <c r="D983" s="1">
        <v>5.4000000000000003E-3</v>
      </c>
      <c r="E983">
        <v>28.7</v>
      </c>
      <c r="F983" t="s">
        <v>651</v>
      </c>
      <c r="G983" t="s">
        <v>16</v>
      </c>
      <c r="H983" t="s">
        <v>506</v>
      </c>
      <c r="I983">
        <v>25.26</v>
      </c>
      <c r="J983" t="s">
        <v>652</v>
      </c>
      <c r="K983" t="s">
        <v>652</v>
      </c>
    </row>
    <row r="984" spans="1:11" x14ac:dyDescent="0.5">
      <c r="A984" t="s">
        <v>2013</v>
      </c>
      <c r="B984" t="s">
        <v>1051</v>
      </c>
      <c r="C984" t="s">
        <v>2014</v>
      </c>
      <c r="D984" s="1">
        <v>3.6499999999999998E-2</v>
      </c>
      <c r="E984">
        <v>18.8</v>
      </c>
      <c r="F984" t="s">
        <v>651</v>
      </c>
      <c r="G984" t="s">
        <v>16</v>
      </c>
      <c r="H984" t="s">
        <v>506</v>
      </c>
      <c r="I984">
        <v>6.6</v>
      </c>
      <c r="J984" t="s">
        <v>652</v>
      </c>
      <c r="K984" t="s">
        <v>652</v>
      </c>
    </row>
    <row r="985" spans="1:11" x14ac:dyDescent="0.5">
      <c r="A985" t="s">
        <v>2015</v>
      </c>
      <c r="B985" t="s">
        <v>1051</v>
      </c>
      <c r="C985" t="s">
        <v>2016</v>
      </c>
      <c r="D985" s="1">
        <v>5.0200000000000002E-2</v>
      </c>
      <c r="E985">
        <v>42.2</v>
      </c>
      <c r="F985" t="s">
        <v>651</v>
      </c>
      <c r="G985" t="s">
        <v>254</v>
      </c>
      <c r="H985" t="s">
        <v>254</v>
      </c>
      <c r="I985">
        <v>33.58</v>
      </c>
      <c r="J985" t="s">
        <v>652</v>
      </c>
      <c r="K985" t="s">
        <v>652</v>
      </c>
    </row>
    <row r="986" spans="1:11" x14ac:dyDescent="0.5">
      <c r="A986" t="s">
        <v>2017</v>
      </c>
      <c r="B986" t="s">
        <v>1051</v>
      </c>
      <c r="C986" t="s">
        <v>2018</v>
      </c>
      <c r="D986" s="1">
        <v>5.5199999999999999E-2</v>
      </c>
      <c r="E986">
        <v>53.2</v>
      </c>
      <c r="F986" t="s">
        <v>651</v>
      </c>
      <c r="G986" t="s">
        <v>506</v>
      </c>
      <c r="H986" t="s">
        <v>32</v>
      </c>
      <c r="I986">
        <v>17.61</v>
      </c>
      <c r="J986" t="s">
        <v>652</v>
      </c>
      <c r="K986" t="s">
        <v>652</v>
      </c>
    </row>
    <row r="987" spans="1:11" x14ac:dyDescent="0.5">
      <c r="A987" t="s">
        <v>2019</v>
      </c>
      <c r="B987" t="s">
        <v>1051</v>
      </c>
      <c r="C987" t="s">
        <v>2020</v>
      </c>
      <c r="D987" s="1">
        <v>2.24E-2</v>
      </c>
      <c r="E987">
        <v>56</v>
      </c>
      <c r="F987" t="s">
        <v>651</v>
      </c>
      <c r="G987" t="s">
        <v>506</v>
      </c>
      <c r="H987" t="s">
        <v>32</v>
      </c>
      <c r="I987">
        <v>13.2</v>
      </c>
      <c r="J987" t="s">
        <v>652</v>
      </c>
      <c r="K987" t="s">
        <v>652</v>
      </c>
    </row>
    <row r="988" spans="1:11" x14ac:dyDescent="0.5">
      <c r="A988" t="s">
        <v>2021</v>
      </c>
      <c r="B988" t="s">
        <v>1051</v>
      </c>
      <c r="C988" t="s">
        <v>2022</v>
      </c>
      <c r="D988" s="1">
        <v>3.6499999999999998E-2</v>
      </c>
      <c r="E988">
        <v>11.1</v>
      </c>
      <c r="F988" t="s">
        <v>651</v>
      </c>
      <c r="G988" t="s">
        <v>16</v>
      </c>
      <c r="H988" t="s">
        <v>506</v>
      </c>
      <c r="I988">
        <v>16</v>
      </c>
      <c r="J988" t="s">
        <v>652</v>
      </c>
      <c r="K988" t="s">
        <v>652</v>
      </c>
    </row>
    <row r="989" spans="1:11" x14ac:dyDescent="0.5">
      <c r="A989" t="s">
        <v>2023</v>
      </c>
      <c r="B989" t="s">
        <v>1051</v>
      </c>
      <c r="C989" t="s">
        <v>2024</v>
      </c>
      <c r="D989" s="1">
        <v>6.3E-3</v>
      </c>
      <c r="E989">
        <v>26.3</v>
      </c>
      <c r="F989" t="s">
        <v>651</v>
      </c>
      <c r="G989" t="s">
        <v>16</v>
      </c>
      <c r="H989" t="s">
        <v>506</v>
      </c>
      <c r="I989">
        <v>26.58</v>
      </c>
      <c r="J989" t="s">
        <v>652</v>
      </c>
      <c r="K989" t="s">
        <v>652</v>
      </c>
    </row>
    <row r="990" spans="1:11" x14ac:dyDescent="0.5">
      <c r="A990" t="s">
        <v>2025</v>
      </c>
      <c r="B990" t="s">
        <v>1051</v>
      </c>
      <c r="C990" t="s">
        <v>2026</v>
      </c>
      <c r="D990" s="1">
        <v>7.3499999999999996E-2</v>
      </c>
      <c r="E990">
        <v>64.2</v>
      </c>
      <c r="F990" t="s">
        <v>651</v>
      </c>
      <c r="J990" t="s">
        <v>652</v>
      </c>
      <c r="K990" t="s">
        <v>652</v>
      </c>
    </row>
    <row r="991" spans="1:11" x14ac:dyDescent="0.5">
      <c r="A991" t="s">
        <v>2027</v>
      </c>
      <c r="B991" t="s">
        <v>1051</v>
      </c>
      <c r="C991" t="s">
        <v>2028</v>
      </c>
      <c r="D991" s="1">
        <v>1.9400000000000001E-2</v>
      </c>
      <c r="E991">
        <v>59.8</v>
      </c>
      <c r="F991" t="s">
        <v>651</v>
      </c>
      <c r="G991" t="s">
        <v>254</v>
      </c>
      <c r="H991" t="s">
        <v>32</v>
      </c>
      <c r="I991">
        <v>34.89</v>
      </c>
      <c r="J991" t="s">
        <v>652</v>
      </c>
      <c r="K991" t="s">
        <v>652</v>
      </c>
    </row>
    <row r="992" spans="1:11" x14ac:dyDescent="0.5">
      <c r="A992" t="s">
        <v>2029</v>
      </c>
      <c r="B992" t="s">
        <v>1051</v>
      </c>
      <c r="C992" t="s">
        <v>2030</v>
      </c>
      <c r="D992" s="1">
        <v>2.4E-2</v>
      </c>
      <c r="E992">
        <v>60</v>
      </c>
      <c r="F992" t="s">
        <v>651</v>
      </c>
      <c r="G992" t="s">
        <v>506</v>
      </c>
      <c r="H992" t="s">
        <v>506</v>
      </c>
      <c r="I992">
        <v>2.5099999999999998</v>
      </c>
      <c r="J992" t="s">
        <v>652</v>
      </c>
      <c r="K992" t="s">
        <v>652</v>
      </c>
    </row>
    <row r="993" spans="1:11" x14ac:dyDescent="0.5">
      <c r="A993" t="s">
        <v>2031</v>
      </c>
      <c r="B993" t="s">
        <v>1051</v>
      </c>
      <c r="C993" t="s">
        <v>2032</v>
      </c>
      <c r="D993" s="1">
        <v>2.1499999999999998E-2</v>
      </c>
      <c r="E993">
        <v>27.2</v>
      </c>
      <c r="F993" t="s">
        <v>651</v>
      </c>
      <c r="G993" t="s">
        <v>506</v>
      </c>
      <c r="H993" t="s">
        <v>16</v>
      </c>
      <c r="I993">
        <v>48.32</v>
      </c>
      <c r="J993" t="s">
        <v>652</v>
      </c>
      <c r="K993" t="s">
        <v>652</v>
      </c>
    </row>
    <row r="994" spans="1:11" x14ac:dyDescent="0.5">
      <c r="A994" t="s">
        <v>2033</v>
      </c>
      <c r="B994" t="s">
        <v>1051</v>
      </c>
      <c r="C994" t="s">
        <v>2034</v>
      </c>
      <c r="D994" s="1">
        <v>3.8999999999999998E-3</v>
      </c>
      <c r="E994">
        <v>35.799999999999997</v>
      </c>
      <c r="F994" t="s">
        <v>651</v>
      </c>
      <c r="G994" t="s">
        <v>16</v>
      </c>
      <c r="H994" t="s">
        <v>506</v>
      </c>
      <c r="I994">
        <v>6.6</v>
      </c>
      <c r="J994" t="s">
        <v>652</v>
      </c>
      <c r="K994" t="s">
        <v>652</v>
      </c>
    </row>
    <row r="995" spans="1:11" x14ac:dyDescent="0.5">
      <c r="A995" t="s">
        <v>2035</v>
      </c>
      <c r="B995" t="s">
        <v>1051</v>
      </c>
      <c r="C995" t="s">
        <v>2036</v>
      </c>
      <c r="D995" s="1">
        <v>6.4500000000000002E-2</v>
      </c>
      <c r="E995">
        <v>42.1</v>
      </c>
      <c r="F995" t="s">
        <v>651</v>
      </c>
      <c r="G995" t="s">
        <v>506</v>
      </c>
      <c r="H995" t="s">
        <v>32</v>
      </c>
      <c r="I995">
        <v>25.05</v>
      </c>
      <c r="J995" t="s">
        <v>652</v>
      </c>
      <c r="K995" t="s">
        <v>652</v>
      </c>
    </row>
    <row r="996" spans="1:11" x14ac:dyDescent="0.5">
      <c r="A996" t="s">
        <v>2037</v>
      </c>
      <c r="B996" t="s">
        <v>1051</v>
      </c>
      <c r="C996" t="s">
        <v>2038</v>
      </c>
      <c r="D996" s="1">
        <v>1.18E-2</v>
      </c>
      <c r="E996">
        <v>35.200000000000003</v>
      </c>
      <c r="F996" t="s">
        <v>651</v>
      </c>
      <c r="G996" t="s">
        <v>15</v>
      </c>
      <c r="H996" t="s">
        <v>506</v>
      </c>
      <c r="I996">
        <v>6.6</v>
      </c>
      <c r="J996" t="s">
        <v>652</v>
      </c>
      <c r="K996" t="s">
        <v>652</v>
      </c>
    </row>
    <row r="997" spans="1:11" x14ac:dyDescent="0.5">
      <c r="A997" t="s">
        <v>2039</v>
      </c>
      <c r="B997" t="s">
        <v>1051</v>
      </c>
      <c r="C997" t="s">
        <v>2040</v>
      </c>
      <c r="D997" s="1">
        <v>9.1000000000000004E-3</v>
      </c>
      <c r="E997">
        <v>41.6</v>
      </c>
      <c r="F997" t="s">
        <v>651</v>
      </c>
      <c r="G997" t="s">
        <v>459</v>
      </c>
      <c r="H997" t="s">
        <v>254</v>
      </c>
      <c r="I997">
        <v>57.42</v>
      </c>
      <c r="J997" t="s">
        <v>652</v>
      </c>
      <c r="K997" t="s">
        <v>652</v>
      </c>
    </row>
    <row r="998" spans="1:11" x14ac:dyDescent="0.5">
      <c r="A998" t="s">
        <v>2041</v>
      </c>
      <c r="B998" t="s">
        <v>1051</v>
      </c>
      <c r="C998" t="s">
        <v>2042</v>
      </c>
      <c r="D998" s="1">
        <v>2.2800000000000001E-2</v>
      </c>
      <c r="E998">
        <v>46.5</v>
      </c>
      <c r="F998" t="s">
        <v>651</v>
      </c>
      <c r="G998" t="s">
        <v>253</v>
      </c>
      <c r="H998" t="s">
        <v>32</v>
      </c>
      <c r="I998">
        <v>18.489999999999998</v>
      </c>
      <c r="J998" t="s">
        <v>652</v>
      </c>
      <c r="K998" t="s">
        <v>652</v>
      </c>
    </row>
    <row r="999" spans="1:11" x14ac:dyDescent="0.5">
      <c r="A999" t="s">
        <v>2043</v>
      </c>
      <c r="B999" t="s">
        <v>1051</v>
      </c>
      <c r="C999" t="s">
        <v>2044</v>
      </c>
      <c r="D999" s="1">
        <v>3.2599999999999997E-2</v>
      </c>
      <c r="E999">
        <v>26.7</v>
      </c>
      <c r="F999" t="s">
        <v>651</v>
      </c>
      <c r="G999" t="s">
        <v>459</v>
      </c>
      <c r="H999" t="s">
        <v>254</v>
      </c>
      <c r="I999">
        <v>45.82</v>
      </c>
      <c r="J999" t="s">
        <v>652</v>
      </c>
      <c r="K999" t="s">
        <v>652</v>
      </c>
    </row>
    <row r="1000" spans="1:11" x14ac:dyDescent="0.5">
      <c r="A1000" t="s">
        <v>2045</v>
      </c>
      <c r="B1000" t="s">
        <v>1051</v>
      </c>
      <c r="C1000" t="s">
        <v>2046</v>
      </c>
      <c r="D1000" s="1">
        <v>2.9700000000000001E-2</v>
      </c>
      <c r="E1000">
        <v>31.3</v>
      </c>
      <c r="F1000" t="s">
        <v>651</v>
      </c>
      <c r="G1000" t="s">
        <v>253</v>
      </c>
      <c r="H1000" t="s">
        <v>32</v>
      </c>
      <c r="I1000">
        <v>39.36</v>
      </c>
      <c r="J1000" t="s">
        <v>652</v>
      </c>
      <c r="K1000" t="s">
        <v>652</v>
      </c>
    </row>
    <row r="1001" spans="1:11" x14ac:dyDescent="0.5">
      <c r="A1001" t="s">
        <v>2047</v>
      </c>
      <c r="B1001" t="s">
        <v>1051</v>
      </c>
      <c r="C1001" t="s">
        <v>2048</v>
      </c>
      <c r="D1001" s="1">
        <v>2.0799999999999999E-2</v>
      </c>
      <c r="E1001">
        <v>41.9</v>
      </c>
      <c r="F1001" t="s">
        <v>651</v>
      </c>
      <c r="G1001" t="s">
        <v>506</v>
      </c>
      <c r="H1001" t="s">
        <v>32</v>
      </c>
      <c r="I1001">
        <v>23.67</v>
      </c>
      <c r="J1001" t="s">
        <v>652</v>
      </c>
      <c r="K1001" t="s">
        <v>652</v>
      </c>
    </row>
    <row r="1002" spans="1:11" x14ac:dyDescent="0.5">
      <c r="A1002" t="s">
        <v>2049</v>
      </c>
      <c r="B1002" t="s">
        <v>1051</v>
      </c>
      <c r="C1002" t="s">
        <v>2050</v>
      </c>
      <c r="D1002" s="1">
        <v>1.11E-2</v>
      </c>
      <c r="E1002">
        <v>49.4</v>
      </c>
      <c r="F1002" t="s">
        <v>651</v>
      </c>
      <c r="G1002" t="s">
        <v>459</v>
      </c>
      <c r="H1002" t="s">
        <v>254</v>
      </c>
      <c r="I1002">
        <v>45.05</v>
      </c>
      <c r="J1002" t="s">
        <v>652</v>
      </c>
      <c r="K1002" t="s">
        <v>652</v>
      </c>
    </row>
    <row r="1003" spans="1:11" x14ac:dyDescent="0.5">
      <c r="A1003" t="s">
        <v>2051</v>
      </c>
      <c r="B1003" t="s">
        <v>1051</v>
      </c>
      <c r="C1003" t="s">
        <v>2052</v>
      </c>
      <c r="D1003" s="1">
        <v>8.1900000000000001E-2</v>
      </c>
      <c r="E1003">
        <v>43.9</v>
      </c>
      <c r="F1003" t="s">
        <v>651</v>
      </c>
      <c r="G1003" t="s">
        <v>254</v>
      </c>
      <c r="H1003" t="s">
        <v>32</v>
      </c>
      <c r="I1003">
        <v>20.28</v>
      </c>
      <c r="J1003" t="s">
        <v>652</v>
      </c>
      <c r="K1003" t="s">
        <v>652</v>
      </c>
    </row>
    <row r="1004" spans="1:11" x14ac:dyDescent="0.5">
      <c r="A1004" t="s">
        <v>2053</v>
      </c>
      <c r="B1004" t="s">
        <v>1051</v>
      </c>
      <c r="C1004" t="s">
        <v>2054</v>
      </c>
      <c r="D1004" s="1">
        <v>5.3999999999999999E-2</v>
      </c>
      <c r="E1004">
        <v>43.4</v>
      </c>
      <c r="F1004" t="s">
        <v>651</v>
      </c>
      <c r="G1004" t="s">
        <v>254</v>
      </c>
      <c r="H1004" t="s">
        <v>254</v>
      </c>
      <c r="I1004">
        <v>19.8</v>
      </c>
      <c r="J1004" t="s">
        <v>652</v>
      </c>
      <c r="K1004" t="s">
        <v>652</v>
      </c>
    </row>
    <row r="1005" spans="1:11" x14ac:dyDescent="0.5">
      <c r="A1005" t="s">
        <v>2055</v>
      </c>
      <c r="B1005" t="s">
        <v>1051</v>
      </c>
      <c r="C1005" t="s">
        <v>2056</v>
      </c>
      <c r="D1005" s="1">
        <v>4.9399999999999999E-2</v>
      </c>
      <c r="E1005">
        <v>49.9</v>
      </c>
      <c r="F1005" t="s">
        <v>651</v>
      </c>
      <c r="G1005" t="s">
        <v>253</v>
      </c>
      <c r="H1005" t="s">
        <v>506</v>
      </c>
      <c r="I1005">
        <v>10.16</v>
      </c>
      <c r="J1005" t="s">
        <v>652</v>
      </c>
      <c r="K1005" t="s">
        <v>652</v>
      </c>
    </row>
    <row r="1006" spans="1:11" x14ac:dyDescent="0.5">
      <c r="A1006" t="s">
        <v>2057</v>
      </c>
      <c r="B1006" t="s">
        <v>1051</v>
      </c>
      <c r="C1006" t="s">
        <v>2058</v>
      </c>
      <c r="D1006" s="1">
        <v>3.7600000000000001E-2</v>
      </c>
      <c r="E1006">
        <v>45.6</v>
      </c>
      <c r="F1006" t="s">
        <v>651</v>
      </c>
      <c r="G1006" t="s">
        <v>254</v>
      </c>
      <c r="H1006" t="s">
        <v>32</v>
      </c>
      <c r="I1006">
        <v>15.4</v>
      </c>
      <c r="J1006" t="s">
        <v>652</v>
      </c>
      <c r="K1006" t="s">
        <v>652</v>
      </c>
    </row>
    <row r="1007" spans="1:11" x14ac:dyDescent="0.5">
      <c r="A1007" t="s">
        <v>2059</v>
      </c>
      <c r="B1007" t="s">
        <v>1051</v>
      </c>
      <c r="C1007" t="s">
        <v>2060</v>
      </c>
      <c r="D1007" s="1">
        <v>9.2999999999999992E-3</v>
      </c>
      <c r="E1007">
        <v>39.9</v>
      </c>
      <c r="F1007" t="s">
        <v>651</v>
      </c>
      <c r="G1007" t="s">
        <v>459</v>
      </c>
      <c r="H1007" t="s">
        <v>254</v>
      </c>
      <c r="I1007">
        <v>54.65</v>
      </c>
      <c r="J1007" t="s">
        <v>652</v>
      </c>
      <c r="K1007" t="s">
        <v>652</v>
      </c>
    </row>
    <row r="1008" spans="1:11" x14ac:dyDescent="0.5">
      <c r="A1008" t="s">
        <v>2061</v>
      </c>
      <c r="B1008" t="s">
        <v>1051</v>
      </c>
      <c r="C1008" t="s">
        <v>2062</v>
      </c>
      <c r="D1008" s="1">
        <v>2.52E-2</v>
      </c>
      <c r="E1008">
        <v>47.8</v>
      </c>
      <c r="F1008" t="s">
        <v>651</v>
      </c>
      <c r="G1008" t="s">
        <v>253</v>
      </c>
      <c r="H1008" t="s">
        <v>506</v>
      </c>
      <c r="I1008">
        <v>11.14</v>
      </c>
      <c r="J1008" t="s">
        <v>652</v>
      </c>
      <c r="K1008" t="s">
        <v>652</v>
      </c>
    </row>
    <row r="1009" spans="1:11" x14ac:dyDescent="0.5">
      <c r="A1009" t="s">
        <v>2063</v>
      </c>
      <c r="B1009" t="s">
        <v>1051</v>
      </c>
      <c r="C1009" t="s">
        <v>2064</v>
      </c>
      <c r="D1009" s="1">
        <v>5.21E-2</v>
      </c>
      <c r="E1009">
        <v>53.3</v>
      </c>
      <c r="F1009" t="s">
        <v>651</v>
      </c>
      <c r="G1009" t="s">
        <v>506</v>
      </c>
      <c r="H1009" t="s">
        <v>506</v>
      </c>
      <c r="I1009">
        <v>3.41</v>
      </c>
      <c r="J1009" t="s">
        <v>652</v>
      </c>
      <c r="K1009" t="s">
        <v>652</v>
      </c>
    </row>
    <row r="1010" spans="1:11" x14ac:dyDescent="0.5">
      <c r="A1010" t="s">
        <v>2065</v>
      </c>
      <c r="B1010" t="s">
        <v>1051</v>
      </c>
      <c r="C1010" t="s">
        <v>2066</v>
      </c>
      <c r="D1010" s="1">
        <v>4.48E-2</v>
      </c>
      <c r="E1010">
        <v>24.3</v>
      </c>
      <c r="F1010" t="s">
        <v>651</v>
      </c>
      <c r="G1010" t="s">
        <v>253</v>
      </c>
      <c r="H1010" t="s">
        <v>254</v>
      </c>
      <c r="I1010">
        <v>43.57</v>
      </c>
      <c r="J1010" t="s">
        <v>652</v>
      </c>
      <c r="K1010" t="s">
        <v>652</v>
      </c>
    </row>
    <row r="1011" spans="1:11" x14ac:dyDescent="0.5">
      <c r="A1011" t="s">
        <v>2067</v>
      </c>
      <c r="B1011" t="s">
        <v>1051</v>
      </c>
      <c r="C1011" t="s">
        <v>2068</v>
      </c>
      <c r="D1011" s="1">
        <v>3.2599999999999997E-2</v>
      </c>
      <c r="E1011">
        <v>41.6</v>
      </c>
      <c r="F1011" t="s">
        <v>651</v>
      </c>
      <c r="G1011" t="s">
        <v>506</v>
      </c>
      <c r="H1011" t="s">
        <v>32</v>
      </c>
      <c r="I1011">
        <v>17.82</v>
      </c>
      <c r="J1011" t="s">
        <v>652</v>
      </c>
      <c r="K1011" t="s">
        <v>652</v>
      </c>
    </row>
    <row r="1012" spans="1:11" x14ac:dyDescent="0.5">
      <c r="A1012" t="s">
        <v>2069</v>
      </c>
      <c r="B1012" t="s">
        <v>1051</v>
      </c>
      <c r="C1012" t="s">
        <v>2070</v>
      </c>
      <c r="D1012" s="1">
        <v>8.09E-2</v>
      </c>
      <c r="E1012">
        <v>29.1</v>
      </c>
      <c r="F1012" t="s">
        <v>651</v>
      </c>
      <c r="G1012" t="s">
        <v>254</v>
      </c>
      <c r="H1012" t="s">
        <v>254</v>
      </c>
      <c r="I1012">
        <v>35.299999999999997</v>
      </c>
      <c r="J1012" t="s">
        <v>652</v>
      </c>
      <c r="K1012" t="s">
        <v>652</v>
      </c>
    </row>
    <row r="1013" spans="1:11" x14ac:dyDescent="0.5">
      <c r="A1013" t="s">
        <v>2071</v>
      </c>
      <c r="B1013" t="s">
        <v>1051</v>
      </c>
      <c r="C1013" t="s">
        <v>2072</v>
      </c>
      <c r="D1013" s="1">
        <v>3.4299999999999997E-2</v>
      </c>
      <c r="E1013">
        <v>28.2</v>
      </c>
      <c r="F1013" t="s">
        <v>651</v>
      </c>
      <c r="G1013" t="s">
        <v>253</v>
      </c>
      <c r="H1013" t="s">
        <v>32</v>
      </c>
      <c r="I1013">
        <v>36.020000000000003</v>
      </c>
      <c r="J1013" t="s">
        <v>652</v>
      </c>
      <c r="K1013" t="s">
        <v>652</v>
      </c>
    </row>
    <row r="1014" spans="1:11" x14ac:dyDescent="0.5">
      <c r="A1014" t="s">
        <v>2073</v>
      </c>
      <c r="B1014" t="s">
        <v>1051</v>
      </c>
      <c r="C1014" t="s">
        <v>2074</v>
      </c>
      <c r="D1014" s="1">
        <v>4.8899999999999999E-2</v>
      </c>
      <c r="E1014">
        <v>41.9</v>
      </c>
      <c r="F1014" t="s">
        <v>651</v>
      </c>
      <c r="G1014" t="s">
        <v>506</v>
      </c>
      <c r="H1014" t="s">
        <v>32</v>
      </c>
      <c r="I1014">
        <v>16.39</v>
      </c>
      <c r="J1014" t="s">
        <v>652</v>
      </c>
      <c r="K1014" t="s">
        <v>652</v>
      </c>
    </row>
    <row r="1015" spans="1:11" x14ac:dyDescent="0.5">
      <c r="A1015" t="s">
        <v>2075</v>
      </c>
      <c r="B1015" t="s">
        <v>1051</v>
      </c>
      <c r="C1015" t="s">
        <v>2076</v>
      </c>
      <c r="D1015" s="1">
        <v>5.5199999999999999E-2</v>
      </c>
      <c r="E1015">
        <v>53.1</v>
      </c>
      <c r="F1015" t="s">
        <v>651</v>
      </c>
      <c r="J1015" t="s">
        <v>652</v>
      </c>
      <c r="K1015" t="s">
        <v>652</v>
      </c>
    </row>
    <row r="1016" spans="1:11" x14ac:dyDescent="0.5">
      <c r="A1016" t="s">
        <v>2077</v>
      </c>
      <c r="B1016" t="s">
        <v>1051</v>
      </c>
      <c r="C1016" t="s">
        <v>2078</v>
      </c>
      <c r="D1016" s="1">
        <v>5.45E-2</v>
      </c>
      <c r="E1016">
        <v>21.7</v>
      </c>
      <c r="F1016" t="s">
        <v>651</v>
      </c>
      <c r="G1016" t="s">
        <v>253</v>
      </c>
      <c r="H1016" t="s">
        <v>254</v>
      </c>
      <c r="I1016">
        <v>43.76</v>
      </c>
      <c r="J1016" t="s">
        <v>652</v>
      </c>
      <c r="K1016" t="s">
        <v>652</v>
      </c>
    </row>
    <row r="1017" spans="1:11" x14ac:dyDescent="0.5">
      <c r="A1017" t="s">
        <v>2079</v>
      </c>
      <c r="B1017" t="s">
        <v>1051</v>
      </c>
      <c r="C1017" t="s">
        <v>2080</v>
      </c>
      <c r="D1017" s="1">
        <v>0.14879999999999999</v>
      </c>
      <c r="E1017">
        <v>40.700000000000003</v>
      </c>
      <c r="F1017" t="s">
        <v>651</v>
      </c>
      <c r="G1017" t="s">
        <v>506</v>
      </c>
      <c r="H1017" t="s">
        <v>32</v>
      </c>
      <c r="I1017">
        <v>17.03</v>
      </c>
      <c r="J1017" t="s">
        <v>652</v>
      </c>
      <c r="K1017" t="s">
        <v>652</v>
      </c>
    </row>
    <row r="1018" spans="1:11" x14ac:dyDescent="0.5">
      <c r="A1018" t="s">
        <v>2081</v>
      </c>
      <c r="B1018" t="s">
        <v>1051</v>
      </c>
      <c r="C1018" t="s">
        <v>2082</v>
      </c>
      <c r="D1018" s="1">
        <v>3.78E-2</v>
      </c>
      <c r="E1018">
        <v>41.6</v>
      </c>
      <c r="F1018" t="s">
        <v>651</v>
      </c>
      <c r="G1018" t="s">
        <v>253</v>
      </c>
      <c r="H1018" t="s">
        <v>32</v>
      </c>
      <c r="I1018">
        <v>15.27</v>
      </c>
      <c r="J1018" t="s">
        <v>652</v>
      </c>
      <c r="K1018" t="s">
        <v>652</v>
      </c>
    </row>
    <row r="1019" spans="1:11" x14ac:dyDescent="0.5">
      <c r="A1019" t="s">
        <v>2083</v>
      </c>
      <c r="B1019" t="s">
        <v>1051</v>
      </c>
      <c r="C1019" t="s">
        <v>2084</v>
      </c>
      <c r="D1019" s="1">
        <v>7.9600000000000004E-2</v>
      </c>
      <c r="E1019">
        <v>26</v>
      </c>
      <c r="F1019" t="s">
        <v>651</v>
      </c>
      <c r="G1019" t="s">
        <v>254</v>
      </c>
      <c r="H1019" t="s">
        <v>32</v>
      </c>
      <c r="I1019">
        <v>36.42</v>
      </c>
      <c r="J1019" t="s">
        <v>652</v>
      </c>
      <c r="K1019" t="s">
        <v>652</v>
      </c>
    </row>
    <row r="1020" spans="1:11" x14ac:dyDescent="0.5">
      <c r="A1020" t="s">
        <v>2085</v>
      </c>
      <c r="B1020" t="s">
        <v>1051</v>
      </c>
      <c r="C1020" t="s">
        <v>2086</v>
      </c>
      <c r="D1020" s="1">
        <v>2.07E-2</v>
      </c>
      <c r="E1020">
        <v>51.7</v>
      </c>
      <c r="F1020" t="s">
        <v>651</v>
      </c>
      <c r="G1020" t="s">
        <v>506</v>
      </c>
      <c r="H1020" t="s">
        <v>506</v>
      </c>
      <c r="I1020">
        <v>0</v>
      </c>
      <c r="J1020" t="s">
        <v>652</v>
      </c>
      <c r="K1020" t="s">
        <v>652</v>
      </c>
    </row>
    <row r="1021" spans="1:11" x14ac:dyDescent="0.5">
      <c r="A1021" t="s">
        <v>2087</v>
      </c>
      <c r="B1021" t="s">
        <v>1051</v>
      </c>
      <c r="C1021" t="s">
        <v>2088</v>
      </c>
      <c r="D1021" s="1">
        <v>4.7800000000000002E-2</v>
      </c>
      <c r="E1021">
        <v>39.799999999999997</v>
      </c>
      <c r="F1021" t="s">
        <v>651</v>
      </c>
      <c r="G1021" t="s">
        <v>506</v>
      </c>
      <c r="H1021" t="s">
        <v>32</v>
      </c>
      <c r="I1021">
        <v>16.41</v>
      </c>
      <c r="J1021" t="s">
        <v>652</v>
      </c>
      <c r="K1021" t="s">
        <v>652</v>
      </c>
    </row>
    <row r="1022" spans="1:11" x14ac:dyDescent="0.5">
      <c r="A1022" t="s">
        <v>2089</v>
      </c>
      <c r="B1022" t="s">
        <v>1051</v>
      </c>
      <c r="C1022" t="s">
        <v>2090</v>
      </c>
      <c r="D1022" s="1">
        <v>4.8800000000000003E-2</v>
      </c>
      <c r="E1022">
        <v>38.799999999999997</v>
      </c>
      <c r="F1022" t="s">
        <v>651</v>
      </c>
      <c r="G1022" t="s">
        <v>506</v>
      </c>
      <c r="H1022" t="s">
        <v>32</v>
      </c>
      <c r="I1022">
        <v>16.420000000000002</v>
      </c>
      <c r="J1022" t="s">
        <v>652</v>
      </c>
      <c r="K1022" t="s">
        <v>652</v>
      </c>
    </row>
    <row r="1023" spans="1:11" x14ac:dyDescent="0.5">
      <c r="A1023" t="s">
        <v>2091</v>
      </c>
      <c r="B1023" t="s">
        <v>1051</v>
      </c>
      <c r="C1023" t="s">
        <v>2092</v>
      </c>
      <c r="D1023" s="1">
        <v>7.7999999999999996E-3</v>
      </c>
      <c r="E1023">
        <v>25.8</v>
      </c>
      <c r="F1023" t="s">
        <v>651</v>
      </c>
      <c r="G1023" t="s">
        <v>16</v>
      </c>
      <c r="H1023" t="s">
        <v>506</v>
      </c>
      <c r="I1023">
        <v>6.6</v>
      </c>
      <c r="J1023" t="s">
        <v>652</v>
      </c>
      <c r="K1023" t="s">
        <v>652</v>
      </c>
    </row>
    <row r="1024" spans="1:11" x14ac:dyDescent="0.5">
      <c r="A1024" t="s">
        <v>2093</v>
      </c>
      <c r="B1024" t="s">
        <v>1051</v>
      </c>
      <c r="C1024" t="s">
        <v>2094</v>
      </c>
      <c r="D1024" s="1">
        <v>7.3000000000000001E-3</v>
      </c>
      <c r="E1024">
        <v>25.8</v>
      </c>
      <c r="F1024" t="s">
        <v>651</v>
      </c>
      <c r="G1024" t="s">
        <v>16</v>
      </c>
      <c r="H1024" t="s">
        <v>506</v>
      </c>
      <c r="I1024">
        <v>6.6</v>
      </c>
      <c r="J1024" t="s">
        <v>652</v>
      </c>
      <c r="K1024" t="s">
        <v>652</v>
      </c>
    </row>
    <row r="1025" spans="1:11" x14ac:dyDescent="0.5">
      <c r="A1025" t="s">
        <v>2095</v>
      </c>
      <c r="B1025" t="s">
        <v>1051</v>
      </c>
      <c r="C1025" t="s">
        <v>2096</v>
      </c>
      <c r="D1025" s="1">
        <v>5.11E-2</v>
      </c>
      <c r="E1025">
        <v>50.4</v>
      </c>
      <c r="F1025" t="s">
        <v>651</v>
      </c>
      <c r="J1025" t="s">
        <v>652</v>
      </c>
      <c r="K1025" t="s">
        <v>652</v>
      </c>
    </row>
    <row r="1026" spans="1:11" x14ac:dyDescent="0.5">
      <c r="A1026" t="s">
        <v>2097</v>
      </c>
      <c r="B1026" t="s">
        <v>1051</v>
      </c>
      <c r="C1026" t="s">
        <v>2098</v>
      </c>
      <c r="D1026" s="1">
        <v>5.1999999999999998E-2</v>
      </c>
      <c r="E1026">
        <v>34.799999999999997</v>
      </c>
      <c r="F1026" t="s">
        <v>651</v>
      </c>
      <c r="G1026" t="s">
        <v>254</v>
      </c>
      <c r="H1026" t="s">
        <v>32</v>
      </c>
      <c r="I1026">
        <v>21.79</v>
      </c>
      <c r="J1026" t="s">
        <v>652</v>
      </c>
      <c r="K1026" t="s">
        <v>652</v>
      </c>
    </row>
    <row r="1027" spans="1:11" x14ac:dyDescent="0.5">
      <c r="A1027" t="s">
        <v>2099</v>
      </c>
      <c r="B1027" t="s">
        <v>1051</v>
      </c>
      <c r="C1027" t="s">
        <v>2100</v>
      </c>
      <c r="D1027" s="1">
        <v>1.61E-2</v>
      </c>
      <c r="E1027">
        <v>52</v>
      </c>
      <c r="F1027" t="s">
        <v>651</v>
      </c>
      <c r="G1027" t="s">
        <v>254</v>
      </c>
      <c r="H1027" t="s">
        <v>506</v>
      </c>
      <c r="I1027">
        <v>29.53</v>
      </c>
      <c r="J1027" t="s">
        <v>652</v>
      </c>
      <c r="K1027" t="s">
        <v>652</v>
      </c>
    </row>
    <row r="1028" spans="1:11" x14ac:dyDescent="0.5">
      <c r="A1028" t="s">
        <v>2101</v>
      </c>
      <c r="B1028" t="s">
        <v>1051</v>
      </c>
      <c r="C1028" t="s">
        <v>2102</v>
      </c>
      <c r="D1028" s="1">
        <v>2.86E-2</v>
      </c>
      <c r="E1028">
        <v>36.799999999999997</v>
      </c>
      <c r="F1028" t="s">
        <v>651</v>
      </c>
      <c r="G1028" t="s">
        <v>506</v>
      </c>
      <c r="H1028" t="s">
        <v>32</v>
      </c>
      <c r="I1028">
        <v>18.190000000000001</v>
      </c>
      <c r="J1028" t="s">
        <v>652</v>
      </c>
      <c r="K1028" t="s">
        <v>652</v>
      </c>
    </row>
    <row r="1029" spans="1:11" x14ac:dyDescent="0.5">
      <c r="A1029" t="s">
        <v>2103</v>
      </c>
      <c r="B1029" t="s">
        <v>1051</v>
      </c>
      <c r="C1029" t="s">
        <v>2104</v>
      </c>
      <c r="D1029" s="1">
        <v>8.6300000000000002E-2</v>
      </c>
      <c r="E1029">
        <v>37.200000000000003</v>
      </c>
      <c r="F1029" t="s">
        <v>651</v>
      </c>
      <c r="G1029" t="s">
        <v>254</v>
      </c>
      <c r="H1029" t="s">
        <v>506</v>
      </c>
      <c r="I1029">
        <v>17.2</v>
      </c>
      <c r="J1029" t="s">
        <v>652</v>
      </c>
      <c r="K1029" t="s">
        <v>652</v>
      </c>
    </row>
    <row r="1030" spans="1:11" x14ac:dyDescent="0.5">
      <c r="A1030" t="s">
        <v>2105</v>
      </c>
      <c r="B1030" t="s">
        <v>1051</v>
      </c>
      <c r="C1030" t="s">
        <v>2106</v>
      </c>
      <c r="D1030" s="1">
        <v>8.3000000000000001E-3</v>
      </c>
      <c r="E1030">
        <v>36.1</v>
      </c>
      <c r="F1030" t="s">
        <v>651</v>
      </c>
      <c r="G1030" t="s">
        <v>506</v>
      </c>
      <c r="H1030" t="s">
        <v>16</v>
      </c>
      <c r="I1030">
        <v>50.19</v>
      </c>
      <c r="J1030" t="s">
        <v>652</v>
      </c>
      <c r="K1030" t="s">
        <v>652</v>
      </c>
    </row>
    <row r="1031" spans="1:11" x14ac:dyDescent="0.5">
      <c r="A1031" t="s">
        <v>2107</v>
      </c>
      <c r="B1031" t="s">
        <v>1051</v>
      </c>
      <c r="C1031" t="s">
        <v>2108</v>
      </c>
      <c r="D1031" s="1">
        <v>0.1014</v>
      </c>
      <c r="E1031">
        <v>49</v>
      </c>
      <c r="F1031" t="s">
        <v>651</v>
      </c>
      <c r="J1031" t="s">
        <v>652</v>
      </c>
      <c r="K1031" t="s">
        <v>652</v>
      </c>
    </row>
    <row r="1032" spans="1:11" x14ac:dyDescent="0.5">
      <c r="A1032" t="s">
        <v>2109</v>
      </c>
      <c r="B1032" t="s">
        <v>1051</v>
      </c>
      <c r="C1032" t="s">
        <v>2110</v>
      </c>
      <c r="D1032" s="1">
        <v>2.87E-2</v>
      </c>
      <c r="E1032">
        <v>37.5</v>
      </c>
      <c r="F1032" t="s">
        <v>651</v>
      </c>
      <c r="G1032" t="s">
        <v>506</v>
      </c>
      <c r="H1032" t="s">
        <v>32</v>
      </c>
      <c r="I1032">
        <v>15.8</v>
      </c>
      <c r="J1032" t="s">
        <v>652</v>
      </c>
      <c r="K1032" t="s">
        <v>652</v>
      </c>
    </row>
    <row r="1033" spans="1:11" x14ac:dyDescent="0.5">
      <c r="A1033" t="s">
        <v>2111</v>
      </c>
      <c r="B1033" t="s">
        <v>1051</v>
      </c>
      <c r="C1033" t="s">
        <v>2112</v>
      </c>
      <c r="D1033" s="1">
        <v>1.67E-2</v>
      </c>
      <c r="E1033">
        <v>46.1</v>
      </c>
      <c r="F1033" t="s">
        <v>651</v>
      </c>
      <c r="G1033" t="s">
        <v>254</v>
      </c>
      <c r="H1033" t="s">
        <v>32</v>
      </c>
      <c r="I1033">
        <v>35.43</v>
      </c>
      <c r="J1033" t="s">
        <v>652</v>
      </c>
      <c r="K1033" t="s">
        <v>652</v>
      </c>
    </row>
    <row r="1034" spans="1:11" x14ac:dyDescent="0.5">
      <c r="A1034" t="s">
        <v>2113</v>
      </c>
      <c r="B1034" t="s">
        <v>1051</v>
      </c>
      <c r="C1034" t="s">
        <v>2114</v>
      </c>
      <c r="D1034" s="1">
        <v>1.72E-2</v>
      </c>
      <c r="E1034">
        <v>46.1</v>
      </c>
      <c r="F1034" t="s">
        <v>651</v>
      </c>
      <c r="G1034" t="s">
        <v>254</v>
      </c>
      <c r="H1034" t="s">
        <v>32</v>
      </c>
      <c r="I1034">
        <v>34.93</v>
      </c>
      <c r="J1034" t="s">
        <v>652</v>
      </c>
      <c r="K1034" t="s">
        <v>652</v>
      </c>
    </row>
    <row r="1035" spans="1:11" x14ac:dyDescent="0.5">
      <c r="A1035" t="s">
        <v>2115</v>
      </c>
      <c r="B1035" t="s">
        <v>1051</v>
      </c>
      <c r="C1035" t="s">
        <v>2116</v>
      </c>
      <c r="D1035" s="1">
        <v>9.1999999999999998E-3</v>
      </c>
      <c r="E1035">
        <v>34.9</v>
      </c>
      <c r="F1035" t="s">
        <v>651</v>
      </c>
      <c r="G1035" t="s">
        <v>459</v>
      </c>
      <c r="H1035" t="s">
        <v>254</v>
      </c>
      <c r="I1035">
        <v>49.89</v>
      </c>
      <c r="J1035" t="s">
        <v>652</v>
      </c>
      <c r="K1035" t="s">
        <v>652</v>
      </c>
    </row>
    <row r="1036" spans="1:11" x14ac:dyDescent="0.5">
      <c r="A1036" t="s">
        <v>2117</v>
      </c>
      <c r="B1036" t="s">
        <v>1051</v>
      </c>
      <c r="C1036" t="s">
        <v>2118</v>
      </c>
      <c r="D1036" s="1">
        <v>3.6299999999999999E-2</v>
      </c>
      <c r="E1036">
        <v>40.1</v>
      </c>
      <c r="F1036" t="s">
        <v>651</v>
      </c>
      <c r="G1036" t="s">
        <v>253</v>
      </c>
      <c r="H1036" t="s">
        <v>506</v>
      </c>
      <c r="I1036">
        <v>10.56</v>
      </c>
      <c r="J1036" t="s">
        <v>652</v>
      </c>
      <c r="K1036" t="s">
        <v>652</v>
      </c>
    </row>
    <row r="1037" spans="1:11" x14ac:dyDescent="0.5">
      <c r="A1037" t="s">
        <v>2119</v>
      </c>
      <c r="B1037" t="s">
        <v>1051</v>
      </c>
      <c r="C1037" t="s">
        <v>2120</v>
      </c>
      <c r="D1037" s="1">
        <v>3.5900000000000001E-2</v>
      </c>
      <c r="E1037">
        <v>47.6</v>
      </c>
      <c r="F1037" t="s">
        <v>651</v>
      </c>
      <c r="J1037" t="s">
        <v>652</v>
      </c>
      <c r="K1037" t="s">
        <v>652</v>
      </c>
    </row>
    <row r="1038" spans="1:11" x14ac:dyDescent="0.5">
      <c r="A1038" t="s">
        <v>2121</v>
      </c>
      <c r="B1038" t="s">
        <v>1051</v>
      </c>
      <c r="C1038" t="s">
        <v>2122</v>
      </c>
      <c r="D1038" s="1">
        <v>6.3899999999999998E-2</v>
      </c>
      <c r="E1038">
        <v>47.5</v>
      </c>
      <c r="F1038" t="s">
        <v>651</v>
      </c>
      <c r="J1038" t="s">
        <v>652</v>
      </c>
      <c r="K1038" t="s">
        <v>652</v>
      </c>
    </row>
    <row r="1039" spans="1:11" x14ac:dyDescent="0.5">
      <c r="A1039" t="s">
        <v>2123</v>
      </c>
      <c r="B1039" t="s">
        <v>1051</v>
      </c>
      <c r="C1039" t="s">
        <v>2124</v>
      </c>
      <c r="D1039" s="1">
        <v>7.7399999999999997E-2</v>
      </c>
      <c r="E1039">
        <v>47.3</v>
      </c>
      <c r="F1039" t="s">
        <v>651</v>
      </c>
      <c r="J1039" t="s">
        <v>652</v>
      </c>
      <c r="K1039" t="s">
        <v>652</v>
      </c>
    </row>
    <row r="1040" spans="1:11" x14ac:dyDescent="0.5">
      <c r="A1040" t="s">
        <v>2125</v>
      </c>
      <c r="B1040" t="s">
        <v>1051</v>
      </c>
      <c r="C1040" t="s">
        <v>2126</v>
      </c>
      <c r="D1040" s="1">
        <v>8.6E-3</v>
      </c>
      <c r="E1040">
        <v>37.5</v>
      </c>
      <c r="F1040" t="s">
        <v>651</v>
      </c>
      <c r="G1040" t="s">
        <v>459</v>
      </c>
      <c r="H1040" t="s">
        <v>254</v>
      </c>
      <c r="I1040">
        <v>45.43</v>
      </c>
      <c r="J1040" t="s">
        <v>652</v>
      </c>
      <c r="K1040" t="s">
        <v>652</v>
      </c>
    </row>
    <row r="1041" spans="1:11" x14ac:dyDescent="0.5">
      <c r="A1041" t="s">
        <v>2127</v>
      </c>
      <c r="B1041" t="s">
        <v>1051</v>
      </c>
      <c r="C1041" t="s">
        <v>2128</v>
      </c>
      <c r="D1041" s="1">
        <v>4.7600000000000003E-2</v>
      </c>
      <c r="E1041">
        <v>42.3</v>
      </c>
      <c r="F1041" t="s">
        <v>651</v>
      </c>
      <c r="G1041" t="s">
        <v>459</v>
      </c>
      <c r="H1041" t="s">
        <v>506</v>
      </c>
      <c r="I1041">
        <v>6.6</v>
      </c>
      <c r="J1041" t="s">
        <v>652</v>
      </c>
      <c r="K1041" t="s">
        <v>652</v>
      </c>
    </row>
    <row r="1042" spans="1:11" x14ac:dyDescent="0.5">
      <c r="A1042" t="s">
        <v>2129</v>
      </c>
      <c r="B1042" t="s">
        <v>1051</v>
      </c>
      <c r="C1042" t="s">
        <v>2130</v>
      </c>
      <c r="D1042" s="1">
        <v>5.1900000000000002E-2</v>
      </c>
      <c r="E1042">
        <v>46.2</v>
      </c>
      <c r="F1042" t="s">
        <v>651</v>
      </c>
      <c r="J1042" t="s">
        <v>652</v>
      </c>
      <c r="K1042" t="s">
        <v>652</v>
      </c>
    </row>
    <row r="1043" spans="1:11" x14ac:dyDescent="0.5">
      <c r="A1043" t="s">
        <v>2131</v>
      </c>
      <c r="B1043" t="s">
        <v>1051</v>
      </c>
      <c r="C1043" t="s">
        <v>2132</v>
      </c>
      <c r="D1043" s="1">
        <v>3.7000000000000002E-3</v>
      </c>
      <c r="E1043">
        <v>48.2</v>
      </c>
      <c r="F1043" t="s">
        <v>651</v>
      </c>
      <c r="G1043" t="s">
        <v>254</v>
      </c>
      <c r="H1043" t="s">
        <v>32</v>
      </c>
      <c r="I1043">
        <v>29.07</v>
      </c>
      <c r="J1043" t="s">
        <v>652</v>
      </c>
      <c r="K1043" t="s">
        <v>652</v>
      </c>
    </row>
    <row r="1044" spans="1:11" x14ac:dyDescent="0.5">
      <c r="A1044" t="s">
        <v>2133</v>
      </c>
      <c r="B1044" t="s">
        <v>1051</v>
      </c>
      <c r="C1044" t="s">
        <v>2134</v>
      </c>
      <c r="D1044" s="1">
        <v>3.85E-2</v>
      </c>
      <c r="E1044">
        <v>46.1</v>
      </c>
      <c r="F1044" t="s">
        <v>651</v>
      </c>
      <c r="J1044" t="s">
        <v>652</v>
      </c>
      <c r="K1044" t="s">
        <v>652</v>
      </c>
    </row>
    <row r="1045" spans="1:11" x14ac:dyDescent="0.5">
      <c r="A1045" t="s">
        <v>2135</v>
      </c>
      <c r="B1045" t="s">
        <v>1051</v>
      </c>
      <c r="C1045" t="s">
        <v>2136</v>
      </c>
      <c r="D1045" s="1">
        <v>4.19E-2</v>
      </c>
      <c r="E1045">
        <v>12.6</v>
      </c>
      <c r="F1045" t="s">
        <v>651</v>
      </c>
      <c r="G1045" t="s">
        <v>253</v>
      </c>
      <c r="H1045" t="s">
        <v>16</v>
      </c>
      <c r="I1045">
        <v>46.54</v>
      </c>
      <c r="J1045" t="s">
        <v>652</v>
      </c>
      <c r="K1045" t="s">
        <v>652</v>
      </c>
    </row>
    <row r="1046" spans="1:11" x14ac:dyDescent="0.5">
      <c r="A1046" t="s">
        <v>2137</v>
      </c>
      <c r="B1046" t="s">
        <v>1051</v>
      </c>
      <c r="C1046" t="s">
        <v>2138</v>
      </c>
      <c r="D1046" s="1">
        <v>4.8000000000000001E-2</v>
      </c>
      <c r="E1046">
        <v>28.9</v>
      </c>
      <c r="F1046" t="s">
        <v>651</v>
      </c>
      <c r="G1046" t="s">
        <v>459</v>
      </c>
      <c r="H1046" t="s">
        <v>506</v>
      </c>
      <c r="I1046">
        <v>23.11</v>
      </c>
      <c r="J1046" t="s">
        <v>652</v>
      </c>
      <c r="K1046" t="s">
        <v>652</v>
      </c>
    </row>
    <row r="1047" spans="1:11" x14ac:dyDescent="0.5">
      <c r="A1047" t="s">
        <v>2139</v>
      </c>
      <c r="B1047" t="s">
        <v>1051</v>
      </c>
      <c r="C1047" t="s">
        <v>2140</v>
      </c>
      <c r="D1047" s="1">
        <v>3.5999999999999997E-2</v>
      </c>
      <c r="E1047">
        <v>45.2</v>
      </c>
      <c r="F1047" t="s">
        <v>651</v>
      </c>
      <c r="J1047" t="s">
        <v>652</v>
      </c>
      <c r="K1047" t="s">
        <v>652</v>
      </c>
    </row>
    <row r="1048" spans="1:11" x14ac:dyDescent="0.5">
      <c r="A1048" t="s">
        <v>2141</v>
      </c>
      <c r="B1048" t="s">
        <v>1051</v>
      </c>
      <c r="C1048" t="s">
        <v>2142</v>
      </c>
      <c r="D1048" s="1">
        <v>7.8200000000000006E-2</v>
      </c>
      <c r="E1048">
        <v>45.1</v>
      </c>
      <c r="F1048" t="s">
        <v>651</v>
      </c>
      <c r="J1048" t="s">
        <v>652</v>
      </c>
      <c r="K1048" t="s">
        <v>652</v>
      </c>
    </row>
    <row r="1049" spans="1:11" x14ac:dyDescent="0.5">
      <c r="A1049" t="s">
        <v>2143</v>
      </c>
      <c r="B1049" t="s">
        <v>1051</v>
      </c>
      <c r="C1049" t="s">
        <v>2144</v>
      </c>
      <c r="D1049" s="1">
        <v>5.7500000000000002E-2</v>
      </c>
      <c r="E1049">
        <v>44.9</v>
      </c>
      <c r="F1049" t="s">
        <v>651</v>
      </c>
      <c r="J1049" t="s">
        <v>652</v>
      </c>
      <c r="K1049" t="s">
        <v>652</v>
      </c>
    </row>
    <row r="1050" spans="1:11" x14ac:dyDescent="0.5">
      <c r="A1050" t="s">
        <v>2145</v>
      </c>
      <c r="B1050" t="s">
        <v>1051</v>
      </c>
      <c r="C1050" t="s">
        <v>2146</v>
      </c>
      <c r="D1050" s="1">
        <v>9.1999999999999998E-3</v>
      </c>
      <c r="E1050">
        <v>66.400000000000006</v>
      </c>
      <c r="F1050" t="s">
        <v>651</v>
      </c>
      <c r="G1050" t="s">
        <v>506</v>
      </c>
      <c r="H1050" t="s">
        <v>506</v>
      </c>
      <c r="I1050">
        <v>1.28</v>
      </c>
      <c r="J1050" t="s">
        <v>652</v>
      </c>
      <c r="K1050" t="s">
        <v>652</v>
      </c>
    </row>
    <row r="1051" spans="1:11" x14ac:dyDescent="0.5">
      <c r="A1051" t="s">
        <v>2147</v>
      </c>
      <c r="B1051" t="s">
        <v>1051</v>
      </c>
      <c r="C1051" t="s">
        <v>2148</v>
      </c>
      <c r="D1051" s="1">
        <v>2.9899999999999999E-2</v>
      </c>
      <c r="E1051">
        <v>36.9</v>
      </c>
      <c r="F1051" t="s">
        <v>651</v>
      </c>
      <c r="G1051" t="s">
        <v>253</v>
      </c>
      <c r="H1051" t="s">
        <v>506</v>
      </c>
      <c r="I1051">
        <v>10.55</v>
      </c>
      <c r="J1051" t="s">
        <v>652</v>
      </c>
      <c r="K1051" t="s">
        <v>652</v>
      </c>
    </row>
    <row r="1052" spans="1:11" x14ac:dyDescent="0.5">
      <c r="A1052" t="s">
        <v>2149</v>
      </c>
      <c r="B1052" t="s">
        <v>1051</v>
      </c>
      <c r="C1052" t="s">
        <v>2150</v>
      </c>
      <c r="D1052" s="1">
        <v>5.4300000000000001E-2</v>
      </c>
      <c r="E1052">
        <v>44.4</v>
      </c>
      <c r="F1052" t="s">
        <v>651</v>
      </c>
      <c r="J1052" t="s">
        <v>652</v>
      </c>
      <c r="K1052" t="s">
        <v>652</v>
      </c>
    </row>
    <row r="1053" spans="1:11" x14ac:dyDescent="0.5">
      <c r="A1053" t="s">
        <v>2151</v>
      </c>
      <c r="B1053" t="s">
        <v>1051</v>
      </c>
      <c r="C1053" t="s">
        <v>2152</v>
      </c>
      <c r="D1053" s="1">
        <v>1.21E-2</v>
      </c>
      <c r="E1053">
        <v>44.1</v>
      </c>
      <c r="F1053" t="s">
        <v>651</v>
      </c>
      <c r="G1053" t="s">
        <v>254</v>
      </c>
      <c r="H1053" t="s">
        <v>32</v>
      </c>
      <c r="I1053">
        <v>32.270000000000003</v>
      </c>
      <c r="J1053" t="s">
        <v>652</v>
      </c>
      <c r="K1053" t="s">
        <v>652</v>
      </c>
    </row>
    <row r="1054" spans="1:11" x14ac:dyDescent="0.5">
      <c r="A1054" t="s">
        <v>2153</v>
      </c>
      <c r="B1054" t="s">
        <v>1051</v>
      </c>
      <c r="C1054" t="s">
        <v>2154</v>
      </c>
      <c r="D1054" s="1">
        <v>8.6E-3</v>
      </c>
      <c r="E1054">
        <v>53.7</v>
      </c>
      <c r="F1054" t="s">
        <v>651</v>
      </c>
      <c r="G1054" t="s">
        <v>253</v>
      </c>
      <c r="H1054" t="s">
        <v>32</v>
      </c>
      <c r="I1054">
        <v>18.649999999999999</v>
      </c>
      <c r="J1054" t="s">
        <v>652</v>
      </c>
      <c r="K1054" t="s">
        <v>652</v>
      </c>
    </row>
    <row r="1055" spans="1:11" x14ac:dyDescent="0.5">
      <c r="A1055" t="s">
        <v>2155</v>
      </c>
      <c r="B1055" t="s">
        <v>1051</v>
      </c>
      <c r="C1055" t="s">
        <v>2156</v>
      </c>
      <c r="D1055" s="1">
        <v>5.6399999999999999E-2</v>
      </c>
      <c r="E1055">
        <v>30</v>
      </c>
      <c r="F1055" t="s">
        <v>651</v>
      </c>
      <c r="G1055" t="s">
        <v>253</v>
      </c>
      <c r="H1055" t="s">
        <v>32</v>
      </c>
      <c r="I1055">
        <v>19.559999999999999</v>
      </c>
      <c r="J1055" t="s">
        <v>652</v>
      </c>
      <c r="K1055" t="s">
        <v>652</v>
      </c>
    </row>
    <row r="1056" spans="1:11" x14ac:dyDescent="0.5">
      <c r="A1056" t="s">
        <v>2157</v>
      </c>
      <c r="B1056" t="s">
        <v>1051</v>
      </c>
      <c r="C1056" t="s">
        <v>2158</v>
      </c>
      <c r="D1056" s="1">
        <v>1.3299999999999999E-2</v>
      </c>
      <c r="E1056">
        <v>43.9</v>
      </c>
      <c r="F1056" t="s">
        <v>651</v>
      </c>
      <c r="G1056" t="s">
        <v>254</v>
      </c>
      <c r="H1056" t="s">
        <v>32</v>
      </c>
      <c r="I1056">
        <v>31.98</v>
      </c>
      <c r="J1056" t="s">
        <v>652</v>
      </c>
      <c r="K1056" t="s">
        <v>652</v>
      </c>
    </row>
    <row r="1057" spans="1:11" x14ac:dyDescent="0.5">
      <c r="A1057" t="s">
        <v>2159</v>
      </c>
      <c r="B1057" t="s">
        <v>1051</v>
      </c>
      <c r="C1057" t="s">
        <v>2160</v>
      </c>
      <c r="D1057" s="1">
        <v>4.1000000000000002E-2</v>
      </c>
      <c r="E1057">
        <v>43.6</v>
      </c>
      <c r="F1057" t="s">
        <v>651</v>
      </c>
      <c r="J1057" t="s">
        <v>652</v>
      </c>
      <c r="K1057" t="s">
        <v>652</v>
      </c>
    </row>
    <row r="1058" spans="1:11" x14ac:dyDescent="0.5">
      <c r="A1058" t="s">
        <v>2161</v>
      </c>
      <c r="B1058" t="s">
        <v>1051</v>
      </c>
      <c r="C1058" t="s">
        <v>2162</v>
      </c>
      <c r="D1058" s="1">
        <v>4.4000000000000003E-3</v>
      </c>
      <c r="E1058">
        <v>48.3</v>
      </c>
      <c r="F1058" t="s">
        <v>651</v>
      </c>
      <c r="G1058" t="s">
        <v>254</v>
      </c>
      <c r="H1058" t="s">
        <v>506</v>
      </c>
      <c r="I1058">
        <v>25.27</v>
      </c>
      <c r="J1058" t="s">
        <v>652</v>
      </c>
      <c r="K1058" t="s">
        <v>652</v>
      </c>
    </row>
    <row r="1059" spans="1:11" x14ac:dyDescent="0.5">
      <c r="A1059" t="s">
        <v>2163</v>
      </c>
      <c r="B1059" t="s">
        <v>1051</v>
      </c>
      <c r="C1059" t="s">
        <v>2164</v>
      </c>
      <c r="D1059" s="1">
        <v>1.37E-2</v>
      </c>
      <c r="E1059">
        <v>39.799999999999997</v>
      </c>
      <c r="F1059" t="s">
        <v>651</v>
      </c>
      <c r="G1059" t="s">
        <v>459</v>
      </c>
      <c r="H1059" t="s">
        <v>32</v>
      </c>
      <c r="I1059">
        <v>37.03</v>
      </c>
      <c r="J1059" t="s">
        <v>652</v>
      </c>
      <c r="K1059" t="s">
        <v>652</v>
      </c>
    </row>
    <row r="1060" spans="1:11" x14ac:dyDescent="0.5">
      <c r="A1060" t="s">
        <v>2165</v>
      </c>
      <c r="B1060" t="s">
        <v>1051</v>
      </c>
      <c r="C1060" t="s">
        <v>2166</v>
      </c>
      <c r="D1060" s="1">
        <v>3.3500000000000002E-2</v>
      </c>
      <c r="E1060">
        <v>41.5</v>
      </c>
      <c r="F1060" t="s">
        <v>651</v>
      </c>
      <c r="G1060" t="s">
        <v>506</v>
      </c>
      <c r="H1060" t="s">
        <v>506</v>
      </c>
      <c r="I1060">
        <v>2.56</v>
      </c>
      <c r="J1060" t="s">
        <v>652</v>
      </c>
      <c r="K1060" t="s">
        <v>652</v>
      </c>
    </row>
    <row r="1061" spans="1:11" x14ac:dyDescent="0.5">
      <c r="A1061" t="s">
        <v>2167</v>
      </c>
      <c r="B1061" t="s">
        <v>1051</v>
      </c>
      <c r="C1061" t="s">
        <v>2168</v>
      </c>
      <c r="D1061" s="1">
        <v>4.1000000000000003E-3</v>
      </c>
      <c r="E1061">
        <v>35.5</v>
      </c>
      <c r="F1061" t="s">
        <v>651</v>
      </c>
      <c r="G1061" t="s">
        <v>253</v>
      </c>
      <c r="H1061" t="s">
        <v>254</v>
      </c>
      <c r="I1061">
        <v>42.88</v>
      </c>
      <c r="J1061" t="s">
        <v>652</v>
      </c>
      <c r="K1061" t="s">
        <v>652</v>
      </c>
    </row>
    <row r="1062" spans="1:11" x14ac:dyDescent="0.5">
      <c r="A1062" t="s">
        <v>2169</v>
      </c>
      <c r="B1062" t="s">
        <v>1051</v>
      </c>
      <c r="C1062" t="s">
        <v>2170</v>
      </c>
      <c r="D1062" s="1">
        <v>9.4000000000000004E-3</v>
      </c>
      <c r="E1062">
        <v>39.5</v>
      </c>
      <c r="F1062" t="s">
        <v>651</v>
      </c>
      <c r="G1062" t="s">
        <v>459</v>
      </c>
      <c r="H1062" t="s">
        <v>32</v>
      </c>
      <c r="I1062">
        <v>37.28</v>
      </c>
      <c r="J1062" t="s">
        <v>652</v>
      </c>
      <c r="K1062" t="s">
        <v>652</v>
      </c>
    </row>
    <row r="1063" spans="1:11" x14ac:dyDescent="0.5">
      <c r="A1063" t="s">
        <v>2171</v>
      </c>
      <c r="B1063" t="s">
        <v>1051</v>
      </c>
      <c r="C1063" t="s">
        <v>2172</v>
      </c>
      <c r="D1063" s="1">
        <v>3.7900000000000003E-2</v>
      </c>
      <c r="E1063">
        <v>27.7</v>
      </c>
      <c r="F1063" t="s">
        <v>651</v>
      </c>
      <c r="G1063" t="s">
        <v>254</v>
      </c>
      <c r="H1063" t="s">
        <v>32</v>
      </c>
      <c r="I1063">
        <v>21.78</v>
      </c>
      <c r="J1063" t="s">
        <v>652</v>
      </c>
      <c r="K1063" t="s">
        <v>652</v>
      </c>
    </row>
    <row r="1064" spans="1:11" x14ac:dyDescent="0.5">
      <c r="A1064" t="s">
        <v>2173</v>
      </c>
      <c r="B1064" t="s">
        <v>1051</v>
      </c>
      <c r="C1064" t="s">
        <v>2174</v>
      </c>
      <c r="D1064" s="1">
        <v>6.4000000000000001E-2</v>
      </c>
      <c r="E1064">
        <v>28.8</v>
      </c>
      <c r="F1064" t="s">
        <v>651</v>
      </c>
      <c r="G1064" t="s">
        <v>254</v>
      </c>
      <c r="H1064" t="s">
        <v>32</v>
      </c>
      <c r="I1064">
        <v>20.16</v>
      </c>
      <c r="J1064" t="s">
        <v>652</v>
      </c>
      <c r="K1064" t="s">
        <v>652</v>
      </c>
    </row>
    <row r="1065" spans="1:11" x14ac:dyDescent="0.5">
      <c r="A1065" t="s">
        <v>2175</v>
      </c>
      <c r="B1065" t="s">
        <v>1051</v>
      </c>
      <c r="C1065" t="s">
        <v>2176</v>
      </c>
      <c r="D1065" s="1">
        <v>0.02</v>
      </c>
      <c r="E1065">
        <v>42.1</v>
      </c>
      <c r="F1065" t="s">
        <v>651</v>
      </c>
      <c r="G1065" t="s">
        <v>506</v>
      </c>
      <c r="H1065" t="s">
        <v>506</v>
      </c>
      <c r="I1065">
        <v>1.45</v>
      </c>
      <c r="J1065" t="s">
        <v>652</v>
      </c>
      <c r="K1065" t="s">
        <v>652</v>
      </c>
    </row>
    <row r="1066" spans="1:11" x14ac:dyDescent="0.5">
      <c r="A1066" t="s">
        <v>2177</v>
      </c>
      <c r="B1066" t="s">
        <v>1051</v>
      </c>
      <c r="C1066" t="s">
        <v>2178</v>
      </c>
      <c r="D1066" s="1">
        <v>1.4200000000000001E-2</v>
      </c>
      <c r="E1066">
        <v>41.1</v>
      </c>
      <c r="F1066" t="s">
        <v>651</v>
      </c>
      <c r="G1066" t="s">
        <v>254</v>
      </c>
      <c r="H1066" t="s">
        <v>32</v>
      </c>
      <c r="I1066">
        <v>34.83</v>
      </c>
      <c r="J1066" t="s">
        <v>652</v>
      </c>
      <c r="K1066" t="s">
        <v>652</v>
      </c>
    </row>
    <row r="1067" spans="1:11" x14ac:dyDescent="0.5">
      <c r="A1067" t="s">
        <v>2179</v>
      </c>
      <c r="B1067" t="s">
        <v>1051</v>
      </c>
      <c r="C1067" t="s">
        <v>2180</v>
      </c>
      <c r="D1067" s="1">
        <v>6.4699999999999994E-2</v>
      </c>
      <c r="E1067">
        <v>43</v>
      </c>
      <c r="F1067" t="s">
        <v>651</v>
      </c>
      <c r="J1067" t="s">
        <v>652</v>
      </c>
      <c r="K1067" t="s">
        <v>652</v>
      </c>
    </row>
    <row r="1068" spans="1:11" x14ac:dyDescent="0.5">
      <c r="A1068" t="s">
        <v>2181</v>
      </c>
      <c r="B1068" t="s">
        <v>1051</v>
      </c>
      <c r="C1068" t="s">
        <v>2182</v>
      </c>
      <c r="D1068" s="1">
        <v>4.65E-2</v>
      </c>
      <c r="E1068">
        <v>42.9</v>
      </c>
      <c r="F1068" t="s">
        <v>651</v>
      </c>
      <c r="J1068" t="s">
        <v>652</v>
      </c>
      <c r="K1068" t="s">
        <v>652</v>
      </c>
    </row>
    <row r="1069" spans="1:11" x14ac:dyDescent="0.5">
      <c r="A1069" t="s">
        <v>2183</v>
      </c>
      <c r="B1069" t="s">
        <v>1051</v>
      </c>
      <c r="C1069" t="s">
        <v>2184</v>
      </c>
      <c r="D1069" s="1">
        <v>3.5499999999999997E-2</v>
      </c>
      <c r="E1069">
        <v>42.9</v>
      </c>
      <c r="F1069" t="s">
        <v>651</v>
      </c>
      <c r="J1069" t="s">
        <v>652</v>
      </c>
      <c r="K1069" t="s">
        <v>652</v>
      </c>
    </row>
    <row r="1070" spans="1:11" x14ac:dyDescent="0.5">
      <c r="A1070" t="s">
        <v>2185</v>
      </c>
      <c r="B1070" t="s">
        <v>1051</v>
      </c>
      <c r="C1070" t="s">
        <v>2186</v>
      </c>
      <c r="D1070" s="1">
        <v>5.0500000000000003E-2</v>
      </c>
      <c r="E1070">
        <v>42.8</v>
      </c>
      <c r="F1070" t="s">
        <v>651</v>
      </c>
      <c r="J1070" t="s">
        <v>652</v>
      </c>
      <c r="K1070" t="s">
        <v>652</v>
      </c>
    </row>
    <row r="1071" spans="1:11" x14ac:dyDescent="0.5">
      <c r="A1071" t="s">
        <v>2187</v>
      </c>
      <c r="B1071" t="s">
        <v>1051</v>
      </c>
      <c r="C1071" t="s">
        <v>2188</v>
      </c>
      <c r="D1071" s="1">
        <v>4.8300000000000003E-2</v>
      </c>
      <c r="E1071">
        <v>31</v>
      </c>
      <c r="F1071" t="s">
        <v>651</v>
      </c>
      <c r="G1071" t="s">
        <v>506</v>
      </c>
      <c r="H1071" t="s">
        <v>32</v>
      </c>
      <c r="I1071">
        <v>16.420000000000002</v>
      </c>
      <c r="J1071" t="s">
        <v>652</v>
      </c>
      <c r="K1071" t="s">
        <v>652</v>
      </c>
    </row>
    <row r="1072" spans="1:11" x14ac:dyDescent="0.5">
      <c r="A1072" t="s">
        <v>2189</v>
      </c>
      <c r="B1072" t="s">
        <v>1051</v>
      </c>
      <c r="C1072" t="s">
        <v>2190</v>
      </c>
      <c r="D1072" s="1">
        <v>1.1599999999999999E-2</v>
      </c>
      <c r="E1072">
        <v>35.799999999999997</v>
      </c>
      <c r="F1072" t="s">
        <v>651</v>
      </c>
      <c r="G1072" t="s">
        <v>459</v>
      </c>
      <c r="H1072" t="s">
        <v>32</v>
      </c>
      <c r="I1072">
        <v>41.42</v>
      </c>
      <c r="J1072" t="s">
        <v>652</v>
      </c>
      <c r="K1072" t="s">
        <v>652</v>
      </c>
    </row>
    <row r="1073" spans="1:11" x14ac:dyDescent="0.5">
      <c r="A1073" t="s">
        <v>2191</v>
      </c>
      <c r="B1073" t="s">
        <v>1051</v>
      </c>
      <c r="C1073" t="s">
        <v>2192</v>
      </c>
      <c r="D1073" s="1">
        <v>5.8999999999999999E-3</v>
      </c>
      <c r="E1073">
        <v>33.799999999999997</v>
      </c>
      <c r="F1073" t="s">
        <v>651</v>
      </c>
      <c r="G1073" t="s">
        <v>459</v>
      </c>
      <c r="H1073" t="s">
        <v>254</v>
      </c>
      <c r="I1073">
        <v>43.81</v>
      </c>
      <c r="J1073" t="s">
        <v>652</v>
      </c>
      <c r="K1073" t="s">
        <v>652</v>
      </c>
    </row>
    <row r="1074" spans="1:11" x14ac:dyDescent="0.5">
      <c r="A1074" t="s">
        <v>2193</v>
      </c>
      <c r="B1074" t="s">
        <v>1051</v>
      </c>
      <c r="C1074" t="s">
        <v>2194</v>
      </c>
      <c r="D1074" s="1">
        <v>4.5499999999999999E-2</v>
      </c>
      <c r="E1074">
        <v>10.5</v>
      </c>
      <c r="F1074" t="s">
        <v>651</v>
      </c>
      <c r="G1074" t="s">
        <v>459</v>
      </c>
      <c r="H1074" t="s">
        <v>254</v>
      </c>
      <c r="I1074">
        <v>44.3</v>
      </c>
      <c r="J1074" t="s">
        <v>652</v>
      </c>
      <c r="K1074" t="s">
        <v>652</v>
      </c>
    </row>
    <row r="1075" spans="1:11" x14ac:dyDescent="0.5">
      <c r="A1075" t="s">
        <v>2195</v>
      </c>
      <c r="B1075" t="s">
        <v>1051</v>
      </c>
      <c r="C1075" t="s">
        <v>2196</v>
      </c>
      <c r="D1075" s="1">
        <v>8.9300000000000004E-2</v>
      </c>
      <c r="E1075">
        <v>42.1</v>
      </c>
      <c r="F1075" t="s">
        <v>651</v>
      </c>
      <c r="J1075" t="s">
        <v>652</v>
      </c>
      <c r="K1075" t="s">
        <v>652</v>
      </c>
    </row>
    <row r="1076" spans="1:11" x14ac:dyDescent="0.5">
      <c r="A1076" t="s">
        <v>2197</v>
      </c>
      <c r="B1076" t="s">
        <v>1051</v>
      </c>
      <c r="C1076" t="s">
        <v>2198</v>
      </c>
      <c r="D1076" s="1">
        <v>4.5100000000000001E-2</v>
      </c>
      <c r="E1076">
        <v>42</v>
      </c>
      <c r="F1076" t="s">
        <v>651</v>
      </c>
      <c r="G1076" t="s">
        <v>506</v>
      </c>
      <c r="H1076" t="s">
        <v>506</v>
      </c>
      <c r="I1076">
        <v>0</v>
      </c>
      <c r="J1076" t="s">
        <v>652</v>
      </c>
      <c r="K1076" t="s">
        <v>652</v>
      </c>
    </row>
    <row r="1077" spans="1:11" x14ac:dyDescent="0.5">
      <c r="A1077" t="s">
        <v>2199</v>
      </c>
      <c r="B1077" t="s">
        <v>1051</v>
      </c>
      <c r="C1077" t="s">
        <v>2200</v>
      </c>
      <c r="D1077" s="1">
        <v>3.3799999999999997E-2</v>
      </c>
      <c r="E1077">
        <v>42</v>
      </c>
      <c r="F1077" t="s">
        <v>651</v>
      </c>
      <c r="J1077" t="s">
        <v>652</v>
      </c>
      <c r="K1077" t="s">
        <v>652</v>
      </c>
    </row>
    <row r="1078" spans="1:11" x14ac:dyDescent="0.5">
      <c r="A1078" t="s">
        <v>2201</v>
      </c>
      <c r="B1078" t="s">
        <v>1051</v>
      </c>
      <c r="C1078" t="s">
        <v>2202</v>
      </c>
      <c r="D1078" s="1">
        <v>5.6599999999999998E-2</v>
      </c>
      <c r="E1078">
        <v>42</v>
      </c>
      <c r="F1078" t="s">
        <v>651</v>
      </c>
      <c r="J1078" t="s">
        <v>652</v>
      </c>
      <c r="K1078" t="s">
        <v>652</v>
      </c>
    </row>
    <row r="1079" spans="1:11" x14ac:dyDescent="0.5">
      <c r="A1079" t="s">
        <v>2203</v>
      </c>
      <c r="B1079" t="s">
        <v>1051</v>
      </c>
      <c r="C1079" t="s">
        <v>2204</v>
      </c>
      <c r="D1079" s="1">
        <v>1.01E-2</v>
      </c>
      <c r="E1079">
        <v>38.299999999999997</v>
      </c>
      <c r="F1079" t="s">
        <v>651</v>
      </c>
      <c r="G1079" t="s">
        <v>459</v>
      </c>
      <c r="H1079" t="s">
        <v>32</v>
      </c>
      <c r="I1079">
        <v>37.14</v>
      </c>
      <c r="J1079" t="s">
        <v>652</v>
      </c>
      <c r="K1079" t="s">
        <v>652</v>
      </c>
    </row>
    <row r="1080" spans="1:11" x14ac:dyDescent="0.5">
      <c r="A1080" t="s">
        <v>2205</v>
      </c>
      <c r="B1080" t="s">
        <v>1051</v>
      </c>
      <c r="C1080" t="s">
        <v>2206</v>
      </c>
      <c r="D1080" s="1">
        <v>1.37E-2</v>
      </c>
      <c r="E1080">
        <v>34.6</v>
      </c>
      <c r="F1080" t="s">
        <v>651</v>
      </c>
      <c r="G1080" t="s">
        <v>459</v>
      </c>
      <c r="H1080" t="s">
        <v>32</v>
      </c>
      <c r="I1080">
        <v>42.3</v>
      </c>
      <c r="J1080" t="s">
        <v>652</v>
      </c>
      <c r="K1080" t="s">
        <v>652</v>
      </c>
    </row>
    <row r="1081" spans="1:11" x14ac:dyDescent="0.5">
      <c r="A1081" t="s">
        <v>2207</v>
      </c>
      <c r="B1081" t="s">
        <v>1051</v>
      </c>
      <c r="C1081" t="s">
        <v>2208</v>
      </c>
      <c r="D1081" s="1">
        <v>3.3300000000000003E-2</v>
      </c>
      <c r="E1081">
        <v>41.5</v>
      </c>
      <c r="F1081" t="s">
        <v>651</v>
      </c>
      <c r="J1081" t="s">
        <v>652</v>
      </c>
      <c r="K1081" t="s">
        <v>652</v>
      </c>
    </row>
    <row r="1082" spans="1:11" x14ac:dyDescent="0.5">
      <c r="A1082" t="s">
        <v>2209</v>
      </c>
      <c r="B1082" t="s">
        <v>1051</v>
      </c>
      <c r="C1082" t="s">
        <v>2210</v>
      </c>
      <c r="D1082" s="1">
        <v>7.7000000000000002E-3</v>
      </c>
      <c r="E1082">
        <v>49</v>
      </c>
      <c r="F1082" t="s">
        <v>651</v>
      </c>
      <c r="G1082" t="s">
        <v>254</v>
      </c>
      <c r="H1082" t="s">
        <v>32</v>
      </c>
      <c r="I1082">
        <v>21.42</v>
      </c>
      <c r="J1082" t="s">
        <v>652</v>
      </c>
      <c r="K1082" t="s">
        <v>652</v>
      </c>
    </row>
    <row r="1083" spans="1:11" x14ac:dyDescent="0.5">
      <c r="A1083" t="s">
        <v>2211</v>
      </c>
      <c r="B1083" t="s">
        <v>1051</v>
      </c>
      <c r="C1083" t="s">
        <v>2212</v>
      </c>
      <c r="D1083" s="1">
        <v>4.8099999999999997E-2</v>
      </c>
      <c r="E1083">
        <v>24</v>
      </c>
      <c r="F1083" t="s">
        <v>651</v>
      </c>
      <c r="G1083" t="s">
        <v>459</v>
      </c>
      <c r="H1083" t="s">
        <v>506</v>
      </c>
      <c r="I1083">
        <v>23.93</v>
      </c>
      <c r="J1083" t="s">
        <v>652</v>
      </c>
      <c r="K1083" t="s">
        <v>652</v>
      </c>
    </row>
    <row r="1084" spans="1:11" x14ac:dyDescent="0.5">
      <c r="A1084" t="s">
        <v>2213</v>
      </c>
      <c r="B1084" t="s">
        <v>1051</v>
      </c>
      <c r="C1084" t="s">
        <v>2214</v>
      </c>
      <c r="D1084" s="1">
        <v>1.89E-2</v>
      </c>
      <c r="E1084">
        <v>40.5</v>
      </c>
      <c r="F1084" t="s">
        <v>651</v>
      </c>
      <c r="G1084" t="s">
        <v>254</v>
      </c>
      <c r="H1084" t="s">
        <v>32</v>
      </c>
      <c r="I1084">
        <v>32.72</v>
      </c>
      <c r="J1084" t="s">
        <v>652</v>
      </c>
      <c r="K1084" t="s">
        <v>652</v>
      </c>
    </row>
    <row r="1085" spans="1:11" x14ac:dyDescent="0.5">
      <c r="A1085" t="s">
        <v>2215</v>
      </c>
      <c r="B1085" t="s">
        <v>1051</v>
      </c>
      <c r="C1085" t="s">
        <v>2216</v>
      </c>
      <c r="D1085" s="1">
        <v>5.1000000000000004E-3</v>
      </c>
      <c r="E1085">
        <v>61.7</v>
      </c>
      <c r="F1085" t="s">
        <v>651</v>
      </c>
      <c r="G1085" t="s">
        <v>506</v>
      </c>
      <c r="H1085" t="s">
        <v>506</v>
      </c>
      <c r="I1085">
        <v>2.88</v>
      </c>
      <c r="J1085" t="s">
        <v>652</v>
      </c>
      <c r="K1085" t="s">
        <v>652</v>
      </c>
    </row>
    <row r="1086" spans="1:11" x14ac:dyDescent="0.5">
      <c r="A1086" t="s">
        <v>2217</v>
      </c>
      <c r="B1086" t="s">
        <v>1051</v>
      </c>
      <c r="C1086" t="s">
        <v>2218</v>
      </c>
      <c r="D1086" s="1">
        <v>3.7600000000000001E-2</v>
      </c>
      <c r="E1086">
        <v>40.799999999999997</v>
      </c>
      <c r="F1086" t="s">
        <v>651</v>
      </c>
      <c r="J1086" t="s">
        <v>652</v>
      </c>
      <c r="K1086" t="s">
        <v>652</v>
      </c>
    </row>
    <row r="1087" spans="1:11" x14ac:dyDescent="0.5">
      <c r="A1087" t="s">
        <v>2219</v>
      </c>
      <c r="B1087" t="s">
        <v>1051</v>
      </c>
      <c r="C1087" t="s">
        <v>2220</v>
      </c>
      <c r="D1087" s="1">
        <v>3.1899999999999998E-2</v>
      </c>
      <c r="E1087">
        <v>40.5</v>
      </c>
      <c r="F1087" t="s">
        <v>651</v>
      </c>
      <c r="J1087" t="s">
        <v>652</v>
      </c>
      <c r="K1087" t="s">
        <v>652</v>
      </c>
    </row>
    <row r="1088" spans="1:11" x14ac:dyDescent="0.5">
      <c r="A1088" t="s">
        <v>2221</v>
      </c>
      <c r="B1088" t="s">
        <v>1051</v>
      </c>
      <c r="C1088" t="s">
        <v>2222</v>
      </c>
      <c r="D1088" s="1">
        <v>5.45E-2</v>
      </c>
      <c r="E1088">
        <v>40.299999999999997</v>
      </c>
      <c r="F1088" t="s">
        <v>651</v>
      </c>
      <c r="J1088" t="s">
        <v>652</v>
      </c>
      <c r="K1088" t="s">
        <v>652</v>
      </c>
    </row>
    <row r="1089" spans="1:11" x14ac:dyDescent="0.5">
      <c r="A1089" t="s">
        <v>2223</v>
      </c>
      <c r="B1089" t="s">
        <v>1051</v>
      </c>
      <c r="C1089" t="s">
        <v>2224</v>
      </c>
      <c r="D1089" s="1">
        <v>4.8000000000000001E-2</v>
      </c>
      <c r="E1089">
        <v>40.1</v>
      </c>
      <c r="F1089" t="s">
        <v>651</v>
      </c>
      <c r="J1089" t="s">
        <v>652</v>
      </c>
      <c r="K1089" t="s">
        <v>652</v>
      </c>
    </row>
    <row r="1090" spans="1:11" x14ac:dyDescent="0.5">
      <c r="A1090" t="s">
        <v>2225</v>
      </c>
      <c r="B1090" t="s">
        <v>1051</v>
      </c>
      <c r="C1090" t="s">
        <v>2226</v>
      </c>
      <c r="D1090" s="1">
        <v>4.8899999999999999E-2</v>
      </c>
      <c r="E1090">
        <v>28.6</v>
      </c>
      <c r="F1090" t="s">
        <v>651</v>
      </c>
      <c r="G1090" t="s">
        <v>459</v>
      </c>
      <c r="H1090" t="s">
        <v>32</v>
      </c>
      <c r="I1090">
        <v>15.4</v>
      </c>
      <c r="J1090" t="s">
        <v>652</v>
      </c>
      <c r="K1090" t="s">
        <v>652</v>
      </c>
    </row>
    <row r="1091" spans="1:11" x14ac:dyDescent="0.5">
      <c r="A1091" t="s">
        <v>2227</v>
      </c>
      <c r="B1091" t="s">
        <v>1051</v>
      </c>
      <c r="C1091" t="s">
        <v>2228</v>
      </c>
      <c r="D1091" s="1">
        <v>5.3E-3</v>
      </c>
      <c r="E1091">
        <v>38.200000000000003</v>
      </c>
      <c r="F1091" t="s">
        <v>651</v>
      </c>
      <c r="G1091" t="s">
        <v>254</v>
      </c>
      <c r="H1091" t="s">
        <v>254</v>
      </c>
      <c r="I1091">
        <v>33.840000000000003</v>
      </c>
      <c r="J1091" t="s">
        <v>652</v>
      </c>
      <c r="K1091" t="s">
        <v>652</v>
      </c>
    </row>
    <row r="1092" spans="1:11" x14ac:dyDescent="0.5">
      <c r="A1092" t="s">
        <v>2229</v>
      </c>
      <c r="B1092" t="s">
        <v>1051</v>
      </c>
      <c r="C1092" t="s">
        <v>2230</v>
      </c>
      <c r="D1092" s="1">
        <v>1.6400000000000001E-2</v>
      </c>
      <c r="E1092">
        <v>40.200000000000003</v>
      </c>
      <c r="F1092" t="s">
        <v>651</v>
      </c>
      <c r="G1092" t="s">
        <v>254</v>
      </c>
      <c r="H1092" t="s">
        <v>506</v>
      </c>
      <c r="I1092">
        <v>30.94</v>
      </c>
      <c r="J1092" t="s">
        <v>652</v>
      </c>
      <c r="K1092" t="s">
        <v>652</v>
      </c>
    </row>
    <row r="1093" spans="1:11" x14ac:dyDescent="0.5">
      <c r="A1093" t="s">
        <v>2231</v>
      </c>
      <c r="B1093" t="s">
        <v>1051</v>
      </c>
      <c r="C1093" t="s">
        <v>2232</v>
      </c>
      <c r="D1093" s="1">
        <v>1.0800000000000001E-2</v>
      </c>
      <c r="E1093">
        <v>48</v>
      </c>
      <c r="F1093" t="s">
        <v>651</v>
      </c>
      <c r="G1093" t="s">
        <v>254</v>
      </c>
      <c r="H1093" t="s">
        <v>254</v>
      </c>
      <c r="I1093">
        <v>19.8</v>
      </c>
      <c r="J1093" t="s">
        <v>652</v>
      </c>
      <c r="K1093" t="s">
        <v>652</v>
      </c>
    </row>
    <row r="1094" spans="1:11" x14ac:dyDescent="0.5">
      <c r="A1094" t="s">
        <v>2233</v>
      </c>
      <c r="B1094" t="s">
        <v>1051</v>
      </c>
      <c r="C1094" t="s">
        <v>2234</v>
      </c>
      <c r="D1094" s="1">
        <v>3.7100000000000001E-2</v>
      </c>
      <c r="E1094">
        <v>28.2</v>
      </c>
      <c r="F1094" t="s">
        <v>651</v>
      </c>
      <c r="G1094" t="s">
        <v>253</v>
      </c>
      <c r="H1094" t="s">
        <v>32</v>
      </c>
      <c r="I1094">
        <v>15.33</v>
      </c>
      <c r="J1094" t="s">
        <v>652</v>
      </c>
      <c r="K1094" t="s">
        <v>652</v>
      </c>
    </row>
    <row r="1095" spans="1:11" x14ac:dyDescent="0.5">
      <c r="A1095" t="s">
        <v>2235</v>
      </c>
      <c r="B1095" t="s">
        <v>1051</v>
      </c>
      <c r="C1095" t="s">
        <v>2236</v>
      </c>
      <c r="D1095" s="1">
        <v>1.4999999999999999E-2</v>
      </c>
      <c r="E1095">
        <v>35.9</v>
      </c>
      <c r="F1095" t="s">
        <v>651</v>
      </c>
      <c r="G1095" t="s">
        <v>254</v>
      </c>
      <c r="H1095" t="s">
        <v>32</v>
      </c>
      <c r="I1095">
        <v>35.979999999999997</v>
      </c>
      <c r="J1095" t="s">
        <v>652</v>
      </c>
      <c r="K1095" t="s">
        <v>652</v>
      </c>
    </row>
    <row r="1096" spans="1:11" x14ac:dyDescent="0.5">
      <c r="A1096" t="s">
        <v>2237</v>
      </c>
      <c r="B1096" t="s">
        <v>1051</v>
      </c>
      <c r="C1096" t="s">
        <v>2238</v>
      </c>
      <c r="D1096" s="1">
        <v>2.3800000000000002E-2</v>
      </c>
      <c r="E1096">
        <v>33.9</v>
      </c>
      <c r="F1096" t="s">
        <v>651</v>
      </c>
      <c r="G1096" t="s">
        <v>506</v>
      </c>
      <c r="H1096" t="s">
        <v>506</v>
      </c>
      <c r="I1096">
        <v>6.6</v>
      </c>
      <c r="J1096" t="s">
        <v>652</v>
      </c>
      <c r="K1096" t="s">
        <v>652</v>
      </c>
    </row>
    <row r="1097" spans="1:11" x14ac:dyDescent="0.5">
      <c r="A1097" t="s">
        <v>2239</v>
      </c>
      <c r="B1097" t="s">
        <v>1051</v>
      </c>
      <c r="C1097" t="s">
        <v>2240</v>
      </c>
      <c r="D1097" s="1">
        <v>4.8099999999999997E-2</v>
      </c>
      <c r="E1097">
        <v>38.4</v>
      </c>
      <c r="F1097" t="s">
        <v>651</v>
      </c>
      <c r="J1097" t="s">
        <v>652</v>
      </c>
      <c r="K1097" t="s">
        <v>652</v>
      </c>
    </row>
    <row r="1098" spans="1:11" x14ac:dyDescent="0.5">
      <c r="A1098" t="s">
        <v>2241</v>
      </c>
      <c r="B1098" t="s">
        <v>1051</v>
      </c>
      <c r="C1098" t="s">
        <v>2242</v>
      </c>
      <c r="D1098" s="1">
        <v>2.9600000000000001E-2</v>
      </c>
      <c r="E1098">
        <v>38.200000000000003</v>
      </c>
      <c r="F1098" t="s">
        <v>651</v>
      </c>
      <c r="G1098" t="s">
        <v>506</v>
      </c>
      <c r="H1098" t="s">
        <v>506</v>
      </c>
      <c r="I1098">
        <v>0</v>
      </c>
      <c r="J1098" t="s">
        <v>652</v>
      </c>
      <c r="K1098" t="s">
        <v>652</v>
      </c>
    </row>
    <row r="1099" spans="1:11" x14ac:dyDescent="0.5">
      <c r="A1099" t="s">
        <v>2243</v>
      </c>
      <c r="B1099" t="s">
        <v>1051</v>
      </c>
      <c r="C1099" t="s">
        <v>2244</v>
      </c>
      <c r="D1099" s="1">
        <v>1.5299999999999999E-2</v>
      </c>
      <c r="E1099">
        <v>35.4</v>
      </c>
      <c r="F1099" t="s">
        <v>651</v>
      </c>
      <c r="G1099" t="s">
        <v>254</v>
      </c>
      <c r="H1099" t="s">
        <v>32</v>
      </c>
      <c r="I1099">
        <v>35.28</v>
      </c>
      <c r="J1099" t="s">
        <v>652</v>
      </c>
      <c r="K1099" t="s">
        <v>652</v>
      </c>
    </row>
    <row r="1100" spans="1:11" x14ac:dyDescent="0.5">
      <c r="A1100" t="s">
        <v>2245</v>
      </c>
      <c r="B1100" t="s">
        <v>1051</v>
      </c>
      <c r="C1100" t="s">
        <v>2246</v>
      </c>
      <c r="D1100" s="1">
        <v>1.66E-2</v>
      </c>
      <c r="E1100">
        <v>35.6</v>
      </c>
      <c r="F1100" t="s">
        <v>651</v>
      </c>
      <c r="G1100" t="s">
        <v>254</v>
      </c>
      <c r="H1100" t="s">
        <v>32</v>
      </c>
      <c r="I1100">
        <v>34.64</v>
      </c>
      <c r="J1100" t="s">
        <v>652</v>
      </c>
      <c r="K1100" t="s">
        <v>652</v>
      </c>
    </row>
    <row r="1101" spans="1:11" x14ac:dyDescent="0.5">
      <c r="A1101" t="s">
        <v>2247</v>
      </c>
      <c r="B1101" t="s">
        <v>1051</v>
      </c>
      <c r="C1101" t="s">
        <v>2248</v>
      </c>
      <c r="D1101" s="1">
        <v>0.1173</v>
      </c>
      <c r="E1101">
        <v>37.4</v>
      </c>
      <c r="F1101" t="s">
        <v>651</v>
      </c>
      <c r="G1101" t="s">
        <v>506</v>
      </c>
      <c r="H1101" t="s">
        <v>506</v>
      </c>
      <c r="I1101">
        <v>0</v>
      </c>
      <c r="J1101" t="s">
        <v>652</v>
      </c>
      <c r="K1101" t="s">
        <v>652</v>
      </c>
    </row>
    <row r="1102" spans="1:11" x14ac:dyDescent="0.5">
      <c r="A1102" t="s">
        <v>2249</v>
      </c>
      <c r="B1102" t="s">
        <v>1051</v>
      </c>
      <c r="C1102" t="s">
        <v>2250</v>
      </c>
      <c r="D1102" s="1">
        <v>1.6899999999999998E-2</v>
      </c>
      <c r="E1102">
        <v>35.700000000000003</v>
      </c>
      <c r="F1102" t="s">
        <v>651</v>
      </c>
      <c r="G1102" t="s">
        <v>254</v>
      </c>
      <c r="H1102" t="s">
        <v>32</v>
      </c>
      <c r="I1102">
        <v>34.299999999999997</v>
      </c>
      <c r="J1102" t="s">
        <v>652</v>
      </c>
      <c r="K1102" t="s">
        <v>652</v>
      </c>
    </row>
    <row r="1103" spans="1:11" x14ac:dyDescent="0.5">
      <c r="A1103" t="s">
        <v>2251</v>
      </c>
      <c r="B1103" t="s">
        <v>1051</v>
      </c>
      <c r="C1103" t="s">
        <v>2252</v>
      </c>
      <c r="D1103" s="1">
        <v>2.8899999999999999E-2</v>
      </c>
      <c r="E1103">
        <v>37.200000000000003</v>
      </c>
      <c r="F1103" t="s">
        <v>651</v>
      </c>
      <c r="G1103" t="s">
        <v>506</v>
      </c>
      <c r="H1103" t="s">
        <v>506</v>
      </c>
      <c r="I1103">
        <v>0</v>
      </c>
      <c r="J1103" t="s">
        <v>652</v>
      </c>
      <c r="K1103" t="s">
        <v>652</v>
      </c>
    </row>
    <row r="1104" spans="1:11" x14ac:dyDescent="0.5">
      <c r="A1104" t="s">
        <v>2253</v>
      </c>
      <c r="B1104" t="s">
        <v>1051</v>
      </c>
      <c r="C1104" t="s">
        <v>2254</v>
      </c>
      <c r="D1104" s="1">
        <v>3.3500000000000002E-2</v>
      </c>
      <c r="E1104">
        <v>33.4</v>
      </c>
      <c r="F1104" t="s">
        <v>651</v>
      </c>
      <c r="G1104" t="s">
        <v>506</v>
      </c>
      <c r="H1104" t="s">
        <v>506</v>
      </c>
      <c r="I1104">
        <v>4.96</v>
      </c>
      <c r="J1104" t="s">
        <v>652</v>
      </c>
      <c r="K1104" t="s">
        <v>652</v>
      </c>
    </row>
    <row r="1105" spans="1:11" x14ac:dyDescent="0.5">
      <c r="A1105" t="s">
        <v>2255</v>
      </c>
      <c r="B1105" t="s">
        <v>1051</v>
      </c>
      <c r="C1105" t="s">
        <v>2256</v>
      </c>
      <c r="D1105" s="1">
        <v>9.2999999999999992E-3</v>
      </c>
      <c r="E1105">
        <v>45</v>
      </c>
      <c r="F1105" t="s">
        <v>651</v>
      </c>
      <c r="G1105" t="s">
        <v>254</v>
      </c>
      <c r="H1105" t="s">
        <v>32</v>
      </c>
      <c r="I1105">
        <v>20.63</v>
      </c>
      <c r="J1105" t="s">
        <v>652</v>
      </c>
      <c r="K1105" t="s">
        <v>652</v>
      </c>
    </row>
    <row r="1106" spans="1:11" x14ac:dyDescent="0.5">
      <c r="A1106" t="s">
        <v>2257</v>
      </c>
      <c r="B1106" t="s">
        <v>1051</v>
      </c>
      <c r="C1106" t="s">
        <v>2258</v>
      </c>
      <c r="D1106" s="1">
        <v>1.2800000000000001E-2</v>
      </c>
      <c r="E1106">
        <v>45.3</v>
      </c>
      <c r="F1106" t="s">
        <v>651</v>
      </c>
      <c r="G1106" t="s">
        <v>254</v>
      </c>
      <c r="H1106" t="s">
        <v>32</v>
      </c>
      <c r="I1106">
        <v>19.989999999999998</v>
      </c>
      <c r="J1106" t="s">
        <v>652</v>
      </c>
      <c r="K1106" t="s">
        <v>652</v>
      </c>
    </row>
    <row r="1107" spans="1:11" x14ac:dyDescent="0.5">
      <c r="A1107" t="s">
        <v>2259</v>
      </c>
      <c r="B1107" t="s">
        <v>1051</v>
      </c>
      <c r="C1107" t="s">
        <v>2260</v>
      </c>
      <c r="D1107" s="1">
        <v>4.82E-2</v>
      </c>
      <c r="E1107">
        <v>25.7</v>
      </c>
      <c r="F1107" t="s">
        <v>651</v>
      </c>
      <c r="G1107" t="s">
        <v>459</v>
      </c>
      <c r="H1107" t="s">
        <v>32</v>
      </c>
      <c r="I1107">
        <v>15.4</v>
      </c>
      <c r="J1107" t="s">
        <v>652</v>
      </c>
      <c r="K1107" t="s">
        <v>652</v>
      </c>
    </row>
    <row r="1108" spans="1:11" x14ac:dyDescent="0.5">
      <c r="A1108" t="s">
        <v>2261</v>
      </c>
      <c r="B1108" t="s">
        <v>1051</v>
      </c>
      <c r="C1108" t="s">
        <v>2262</v>
      </c>
      <c r="D1108" s="1">
        <v>1.6199999999999999E-2</v>
      </c>
      <c r="E1108">
        <v>40.5</v>
      </c>
      <c r="F1108" t="s">
        <v>651</v>
      </c>
      <c r="G1108" t="s">
        <v>254</v>
      </c>
      <c r="H1108" t="s">
        <v>506</v>
      </c>
      <c r="I1108">
        <v>26.62</v>
      </c>
      <c r="J1108" t="s">
        <v>652</v>
      </c>
      <c r="K1108" t="s">
        <v>652</v>
      </c>
    </row>
    <row r="1109" spans="1:11" x14ac:dyDescent="0.5">
      <c r="A1109" t="s">
        <v>2263</v>
      </c>
      <c r="B1109" t="s">
        <v>1051</v>
      </c>
      <c r="C1109" t="s">
        <v>2264</v>
      </c>
      <c r="D1109" s="1">
        <v>3.95E-2</v>
      </c>
      <c r="E1109">
        <v>32.9</v>
      </c>
      <c r="F1109" t="s">
        <v>651</v>
      </c>
      <c r="G1109" t="s">
        <v>506</v>
      </c>
      <c r="H1109" t="s">
        <v>506</v>
      </c>
      <c r="I1109">
        <v>5.17</v>
      </c>
      <c r="J1109" t="s">
        <v>652</v>
      </c>
      <c r="K1109" t="s">
        <v>652</v>
      </c>
    </row>
    <row r="1110" spans="1:11" x14ac:dyDescent="0.5">
      <c r="A1110" t="s">
        <v>2265</v>
      </c>
      <c r="B1110" t="s">
        <v>1051</v>
      </c>
      <c r="C1110" t="s">
        <v>2266</v>
      </c>
      <c r="D1110" s="1">
        <v>8.0000000000000002E-3</v>
      </c>
      <c r="E1110">
        <v>30.1</v>
      </c>
      <c r="F1110" t="s">
        <v>651</v>
      </c>
      <c r="G1110" t="s">
        <v>459</v>
      </c>
      <c r="H1110" t="s">
        <v>32</v>
      </c>
      <c r="I1110">
        <v>40.869999999999997</v>
      </c>
      <c r="J1110" t="s">
        <v>652</v>
      </c>
      <c r="K1110" t="s">
        <v>652</v>
      </c>
    </row>
    <row r="1111" spans="1:11" x14ac:dyDescent="0.5">
      <c r="A1111" t="s">
        <v>2267</v>
      </c>
      <c r="B1111" t="s">
        <v>1051</v>
      </c>
      <c r="C1111" t="s">
        <v>2268</v>
      </c>
      <c r="D1111" s="1">
        <v>6.0000000000000001E-3</v>
      </c>
      <c r="E1111">
        <v>24.1</v>
      </c>
      <c r="F1111" t="s">
        <v>651</v>
      </c>
      <c r="G1111" t="s">
        <v>459</v>
      </c>
      <c r="H1111" t="s">
        <v>254</v>
      </c>
      <c r="I1111">
        <v>49.26</v>
      </c>
      <c r="J1111" t="s">
        <v>652</v>
      </c>
      <c r="K1111" t="s">
        <v>652</v>
      </c>
    </row>
    <row r="1112" spans="1:11" x14ac:dyDescent="0.5">
      <c r="A1112" t="s">
        <v>2269</v>
      </c>
      <c r="B1112" t="s">
        <v>1051</v>
      </c>
      <c r="C1112" t="s">
        <v>2270</v>
      </c>
      <c r="D1112" s="1">
        <v>0.1479</v>
      </c>
      <c r="E1112">
        <v>36.4</v>
      </c>
      <c r="F1112" t="s">
        <v>651</v>
      </c>
      <c r="G1112" t="s">
        <v>506</v>
      </c>
      <c r="H1112" t="s">
        <v>506</v>
      </c>
      <c r="I1112">
        <v>0</v>
      </c>
      <c r="J1112" t="s">
        <v>652</v>
      </c>
      <c r="K1112" t="s">
        <v>652</v>
      </c>
    </row>
    <row r="1113" spans="1:11" x14ac:dyDescent="0.5">
      <c r="A1113" t="s">
        <v>2271</v>
      </c>
      <c r="B1113" t="s">
        <v>1051</v>
      </c>
      <c r="C1113" t="s">
        <v>2272</v>
      </c>
      <c r="D1113" s="1">
        <v>2.1700000000000001E-2</v>
      </c>
      <c r="E1113">
        <v>36.200000000000003</v>
      </c>
      <c r="F1113" t="s">
        <v>651</v>
      </c>
      <c r="J1113" t="s">
        <v>652</v>
      </c>
      <c r="K1113" t="s">
        <v>652</v>
      </c>
    </row>
    <row r="1114" spans="1:11" x14ac:dyDescent="0.5">
      <c r="A1114" t="s">
        <v>2273</v>
      </c>
      <c r="B1114" t="s">
        <v>1051</v>
      </c>
      <c r="C1114" t="s">
        <v>2274</v>
      </c>
      <c r="D1114" s="1">
        <v>2.52E-2</v>
      </c>
      <c r="E1114">
        <v>36.200000000000003</v>
      </c>
      <c r="F1114" t="s">
        <v>651</v>
      </c>
      <c r="J1114" t="s">
        <v>652</v>
      </c>
      <c r="K1114" t="s">
        <v>652</v>
      </c>
    </row>
    <row r="1115" spans="1:11" x14ac:dyDescent="0.5">
      <c r="A1115" t="s">
        <v>2275</v>
      </c>
      <c r="B1115" t="s">
        <v>1051</v>
      </c>
      <c r="C1115" t="s">
        <v>2276</v>
      </c>
      <c r="D1115" s="1">
        <v>6.4500000000000002E-2</v>
      </c>
      <c r="E1115">
        <v>34.299999999999997</v>
      </c>
      <c r="F1115" t="s">
        <v>651</v>
      </c>
      <c r="G1115" t="s">
        <v>506</v>
      </c>
      <c r="H1115" t="s">
        <v>506</v>
      </c>
      <c r="I1115">
        <v>2.4900000000000002</v>
      </c>
      <c r="J1115" t="s">
        <v>652</v>
      </c>
      <c r="K1115" t="s">
        <v>652</v>
      </c>
    </row>
    <row r="1116" spans="1:11" x14ac:dyDescent="0.5">
      <c r="A1116" t="s">
        <v>2277</v>
      </c>
      <c r="B1116" t="s">
        <v>1051</v>
      </c>
      <c r="C1116" t="s">
        <v>2278</v>
      </c>
      <c r="D1116" s="1">
        <v>8.9999999999999993E-3</v>
      </c>
      <c r="E1116">
        <v>39.200000000000003</v>
      </c>
      <c r="F1116" t="s">
        <v>651</v>
      </c>
      <c r="G1116" t="s">
        <v>254</v>
      </c>
      <c r="H1116" t="s">
        <v>506</v>
      </c>
      <c r="I1116">
        <v>27.43</v>
      </c>
      <c r="J1116" t="s">
        <v>652</v>
      </c>
      <c r="K1116" t="s">
        <v>652</v>
      </c>
    </row>
    <row r="1117" spans="1:11" x14ac:dyDescent="0.5">
      <c r="A1117" t="s">
        <v>2279</v>
      </c>
      <c r="B1117" t="s">
        <v>1051</v>
      </c>
      <c r="C1117" t="s">
        <v>2280</v>
      </c>
      <c r="D1117" s="1">
        <v>4.2500000000000003E-2</v>
      </c>
      <c r="E1117">
        <v>35.9</v>
      </c>
      <c r="F1117" t="s">
        <v>651</v>
      </c>
      <c r="J1117" t="s">
        <v>652</v>
      </c>
      <c r="K1117" t="s">
        <v>652</v>
      </c>
    </row>
    <row r="1118" spans="1:11" x14ac:dyDescent="0.5">
      <c r="A1118" t="s">
        <v>2281</v>
      </c>
      <c r="B1118" t="s">
        <v>1051</v>
      </c>
      <c r="C1118" t="s">
        <v>2282</v>
      </c>
      <c r="D1118" s="1">
        <v>6.6600000000000006E-2</v>
      </c>
      <c r="E1118">
        <v>33.4</v>
      </c>
      <c r="F1118" t="s">
        <v>651</v>
      </c>
      <c r="G1118" t="s">
        <v>506</v>
      </c>
      <c r="H1118" t="s">
        <v>506</v>
      </c>
      <c r="I1118">
        <v>3.34</v>
      </c>
      <c r="J1118" t="s">
        <v>652</v>
      </c>
      <c r="K1118" t="s">
        <v>652</v>
      </c>
    </row>
    <row r="1119" spans="1:11" x14ac:dyDescent="0.5">
      <c r="A1119" t="s">
        <v>2283</v>
      </c>
      <c r="B1119" t="s">
        <v>1051</v>
      </c>
      <c r="C1119" t="s">
        <v>2284</v>
      </c>
      <c r="D1119" s="1">
        <v>5.1499999999999997E-2</v>
      </c>
      <c r="E1119">
        <v>34.799999999999997</v>
      </c>
      <c r="F1119" t="s">
        <v>651</v>
      </c>
      <c r="G1119" t="s">
        <v>506</v>
      </c>
      <c r="H1119" t="s">
        <v>506</v>
      </c>
      <c r="I1119">
        <v>0.99</v>
      </c>
      <c r="J1119" t="s">
        <v>652</v>
      </c>
      <c r="K1119" t="s">
        <v>652</v>
      </c>
    </row>
    <row r="1120" spans="1:11" x14ac:dyDescent="0.5">
      <c r="A1120" t="s">
        <v>2285</v>
      </c>
      <c r="B1120" t="s">
        <v>1051</v>
      </c>
      <c r="C1120" t="s">
        <v>2286</v>
      </c>
      <c r="D1120" s="1">
        <v>1.15E-2</v>
      </c>
      <c r="E1120">
        <v>43.2</v>
      </c>
      <c r="F1120" t="s">
        <v>651</v>
      </c>
      <c r="G1120" t="s">
        <v>253</v>
      </c>
      <c r="H1120" t="s">
        <v>32</v>
      </c>
      <c r="I1120">
        <v>20.55</v>
      </c>
      <c r="J1120" t="s">
        <v>652</v>
      </c>
      <c r="K1120" t="s">
        <v>652</v>
      </c>
    </row>
    <row r="1121" spans="1:11" x14ac:dyDescent="0.5">
      <c r="A1121" t="s">
        <v>2287</v>
      </c>
      <c r="B1121" t="s">
        <v>1051</v>
      </c>
      <c r="C1121" t="s">
        <v>2288</v>
      </c>
      <c r="D1121" s="1">
        <v>9.5500000000000002E-2</v>
      </c>
      <c r="E1121">
        <v>34.700000000000003</v>
      </c>
      <c r="F1121" t="s">
        <v>651</v>
      </c>
      <c r="G1121" t="s">
        <v>506</v>
      </c>
      <c r="H1121" t="s">
        <v>506</v>
      </c>
      <c r="I1121">
        <v>0</v>
      </c>
      <c r="J1121" t="s">
        <v>652</v>
      </c>
      <c r="K1121" t="s">
        <v>652</v>
      </c>
    </row>
    <row r="1122" spans="1:11" x14ac:dyDescent="0.5">
      <c r="A1122" t="s">
        <v>2289</v>
      </c>
      <c r="B1122" t="s">
        <v>1051</v>
      </c>
      <c r="C1122" t="s">
        <v>2290</v>
      </c>
      <c r="D1122" s="1">
        <v>3.2099999999999997E-2</v>
      </c>
      <c r="E1122">
        <v>32</v>
      </c>
      <c r="F1122" t="s">
        <v>651</v>
      </c>
      <c r="G1122" t="s">
        <v>506</v>
      </c>
      <c r="H1122" t="s">
        <v>506</v>
      </c>
      <c r="I1122">
        <v>3.68</v>
      </c>
      <c r="J1122" t="s">
        <v>652</v>
      </c>
      <c r="K1122" t="s">
        <v>652</v>
      </c>
    </row>
    <row r="1123" spans="1:11" x14ac:dyDescent="0.5">
      <c r="A1123" t="s">
        <v>2291</v>
      </c>
      <c r="B1123" t="s">
        <v>1051</v>
      </c>
      <c r="C1123" t="s">
        <v>2292</v>
      </c>
      <c r="D1123" s="1">
        <v>8.8000000000000005E-3</v>
      </c>
      <c r="E1123">
        <v>49.1</v>
      </c>
      <c r="F1123" t="s">
        <v>651</v>
      </c>
      <c r="G1123" t="s">
        <v>254</v>
      </c>
      <c r="H1123" t="s">
        <v>506</v>
      </c>
      <c r="I1123">
        <v>11.55</v>
      </c>
      <c r="J1123" t="s">
        <v>652</v>
      </c>
      <c r="K1123" t="s">
        <v>652</v>
      </c>
    </row>
    <row r="1124" spans="1:11" x14ac:dyDescent="0.5">
      <c r="A1124" t="s">
        <v>2293</v>
      </c>
      <c r="B1124" t="s">
        <v>1051</v>
      </c>
      <c r="C1124" t="s">
        <v>2294</v>
      </c>
      <c r="D1124" s="1">
        <v>4.9299999999999997E-2</v>
      </c>
      <c r="E1124">
        <v>34.299999999999997</v>
      </c>
      <c r="F1124" t="s">
        <v>651</v>
      </c>
      <c r="J1124" t="s">
        <v>652</v>
      </c>
      <c r="K1124" t="s">
        <v>652</v>
      </c>
    </row>
    <row r="1125" spans="1:11" x14ac:dyDescent="0.5">
      <c r="A1125" t="s">
        <v>2295</v>
      </c>
      <c r="B1125" t="s">
        <v>1051</v>
      </c>
      <c r="C1125" t="s">
        <v>2296</v>
      </c>
      <c r="D1125" s="1">
        <v>0.1139</v>
      </c>
      <c r="E1125">
        <v>34.200000000000003</v>
      </c>
      <c r="F1125" t="s">
        <v>651</v>
      </c>
      <c r="J1125" t="s">
        <v>652</v>
      </c>
      <c r="K1125" t="s">
        <v>652</v>
      </c>
    </row>
    <row r="1126" spans="1:11" x14ac:dyDescent="0.5">
      <c r="A1126" t="s">
        <v>2297</v>
      </c>
      <c r="B1126" t="s">
        <v>1051</v>
      </c>
      <c r="C1126" t="s">
        <v>2298</v>
      </c>
      <c r="D1126" s="1">
        <v>9.4000000000000004E-3</v>
      </c>
      <c r="E1126">
        <v>42.7</v>
      </c>
      <c r="F1126" t="s">
        <v>651</v>
      </c>
      <c r="G1126" t="s">
        <v>254</v>
      </c>
      <c r="H1126" t="s">
        <v>32</v>
      </c>
      <c r="I1126">
        <v>20.02</v>
      </c>
      <c r="J1126" t="s">
        <v>652</v>
      </c>
      <c r="K1126" t="s">
        <v>652</v>
      </c>
    </row>
    <row r="1127" spans="1:11" x14ac:dyDescent="0.5">
      <c r="A1127" t="s">
        <v>2299</v>
      </c>
      <c r="B1127" t="s">
        <v>1051</v>
      </c>
      <c r="C1127" t="s">
        <v>2300</v>
      </c>
      <c r="D1127" s="1">
        <v>1.0500000000000001E-2</v>
      </c>
      <c r="E1127">
        <v>42.1</v>
      </c>
      <c r="F1127" t="s">
        <v>651</v>
      </c>
      <c r="G1127" t="s">
        <v>254</v>
      </c>
      <c r="H1127" t="s">
        <v>32</v>
      </c>
      <c r="I1127">
        <v>20.56</v>
      </c>
      <c r="J1127" t="s">
        <v>652</v>
      </c>
      <c r="K1127" t="s">
        <v>652</v>
      </c>
    </row>
    <row r="1128" spans="1:11" x14ac:dyDescent="0.5">
      <c r="A1128" t="s">
        <v>2301</v>
      </c>
      <c r="B1128" t="s">
        <v>1051</v>
      </c>
      <c r="C1128" t="s">
        <v>2302</v>
      </c>
      <c r="D1128" s="1">
        <v>4.9700000000000001E-2</v>
      </c>
      <c r="E1128">
        <v>33.6</v>
      </c>
      <c r="F1128" t="s">
        <v>651</v>
      </c>
      <c r="J1128" t="s">
        <v>652</v>
      </c>
      <c r="K1128" t="s">
        <v>652</v>
      </c>
    </row>
    <row r="1129" spans="1:11" x14ac:dyDescent="0.5">
      <c r="A1129" t="s">
        <v>2303</v>
      </c>
      <c r="B1129" t="s">
        <v>1051</v>
      </c>
      <c r="C1129" t="s">
        <v>2304</v>
      </c>
      <c r="D1129" s="1">
        <v>6.7400000000000002E-2</v>
      </c>
      <c r="E1129">
        <v>33.4</v>
      </c>
      <c r="F1129" t="s">
        <v>651</v>
      </c>
      <c r="J1129" t="s">
        <v>652</v>
      </c>
      <c r="K1129" t="s">
        <v>652</v>
      </c>
    </row>
    <row r="1130" spans="1:11" x14ac:dyDescent="0.5">
      <c r="A1130" t="s">
        <v>2305</v>
      </c>
      <c r="B1130" t="s">
        <v>1051</v>
      </c>
      <c r="C1130" t="s">
        <v>2306</v>
      </c>
      <c r="D1130" s="1">
        <v>1.35E-2</v>
      </c>
      <c r="E1130">
        <v>56.2</v>
      </c>
      <c r="F1130" t="s">
        <v>651</v>
      </c>
      <c r="J1130" t="s">
        <v>652</v>
      </c>
      <c r="K1130" t="s">
        <v>652</v>
      </c>
    </row>
    <row r="1131" spans="1:11" x14ac:dyDescent="0.5">
      <c r="A1131" t="s">
        <v>2307</v>
      </c>
      <c r="B1131" t="s">
        <v>1051</v>
      </c>
      <c r="C1131" t="s">
        <v>2308</v>
      </c>
      <c r="D1131" s="1">
        <v>5.2499999999999998E-2</v>
      </c>
      <c r="E1131">
        <v>33.299999999999997</v>
      </c>
      <c r="F1131" t="s">
        <v>651</v>
      </c>
      <c r="G1131" t="s">
        <v>506</v>
      </c>
      <c r="H1131" t="s">
        <v>506</v>
      </c>
      <c r="I1131">
        <v>0</v>
      </c>
      <c r="J1131" t="s">
        <v>652</v>
      </c>
      <c r="K1131" t="s">
        <v>652</v>
      </c>
    </row>
    <row r="1132" spans="1:11" x14ac:dyDescent="0.5">
      <c r="A1132" t="s">
        <v>2309</v>
      </c>
      <c r="B1132" t="s">
        <v>1051</v>
      </c>
      <c r="C1132" t="s">
        <v>2310</v>
      </c>
      <c r="D1132" s="1">
        <v>3.73E-2</v>
      </c>
      <c r="E1132">
        <v>31.2</v>
      </c>
      <c r="F1132" t="s">
        <v>651</v>
      </c>
      <c r="G1132" t="s">
        <v>506</v>
      </c>
      <c r="H1132" t="s">
        <v>506</v>
      </c>
      <c r="I1132">
        <v>2.67</v>
      </c>
      <c r="J1132" t="s">
        <v>652</v>
      </c>
      <c r="K1132" t="s">
        <v>652</v>
      </c>
    </row>
    <row r="1133" spans="1:11" x14ac:dyDescent="0.5">
      <c r="A1133" t="s">
        <v>2311</v>
      </c>
      <c r="B1133" t="s">
        <v>1051</v>
      </c>
      <c r="C1133" t="s">
        <v>2312</v>
      </c>
      <c r="D1133" s="1">
        <v>2.9999999999999997E-4</v>
      </c>
      <c r="E1133">
        <v>55.8</v>
      </c>
      <c r="F1133" t="s">
        <v>651</v>
      </c>
      <c r="J1133" t="s">
        <v>652</v>
      </c>
      <c r="K1133" t="s">
        <v>652</v>
      </c>
    </row>
    <row r="1134" spans="1:11" x14ac:dyDescent="0.5">
      <c r="A1134" t="s">
        <v>2313</v>
      </c>
      <c r="B1134" t="s">
        <v>1051</v>
      </c>
      <c r="C1134" t="s">
        <v>2314</v>
      </c>
      <c r="D1134" s="1">
        <v>2.81E-2</v>
      </c>
      <c r="E1134">
        <v>21.3</v>
      </c>
      <c r="F1134" t="s">
        <v>651</v>
      </c>
      <c r="G1134" t="s">
        <v>506</v>
      </c>
      <c r="H1134" t="s">
        <v>32</v>
      </c>
      <c r="I1134">
        <v>16.100000000000001</v>
      </c>
      <c r="J1134" t="s">
        <v>652</v>
      </c>
      <c r="K1134" t="s">
        <v>652</v>
      </c>
    </row>
    <row r="1135" spans="1:11" x14ac:dyDescent="0.5">
      <c r="A1135" t="s">
        <v>2315</v>
      </c>
      <c r="B1135" t="s">
        <v>1051</v>
      </c>
      <c r="C1135" t="s">
        <v>2316</v>
      </c>
      <c r="D1135" s="1">
        <v>5.1200000000000002E-2</v>
      </c>
      <c r="E1135">
        <v>22.9</v>
      </c>
      <c r="F1135" t="s">
        <v>651</v>
      </c>
      <c r="G1135" t="s">
        <v>506</v>
      </c>
      <c r="H1135" t="s">
        <v>32</v>
      </c>
      <c r="I1135">
        <v>13.2</v>
      </c>
      <c r="J1135" t="s">
        <v>652</v>
      </c>
      <c r="K1135" t="s">
        <v>652</v>
      </c>
    </row>
    <row r="1136" spans="1:11" x14ac:dyDescent="0.5">
      <c r="A1136" t="s">
        <v>2317</v>
      </c>
      <c r="B1136" t="s">
        <v>1051</v>
      </c>
      <c r="C1136" t="s">
        <v>2318</v>
      </c>
      <c r="D1136" s="1">
        <v>3.09E-2</v>
      </c>
      <c r="E1136">
        <v>32.299999999999997</v>
      </c>
      <c r="F1136" t="s">
        <v>651</v>
      </c>
      <c r="J1136" t="s">
        <v>652</v>
      </c>
      <c r="K1136" t="s">
        <v>652</v>
      </c>
    </row>
    <row r="1137" spans="1:11" x14ac:dyDescent="0.5">
      <c r="A1137" t="s">
        <v>2319</v>
      </c>
      <c r="B1137" t="s">
        <v>1051</v>
      </c>
      <c r="C1137" t="s">
        <v>2320</v>
      </c>
      <c r="D1137" s="1">
        <v>5.1700000000000003E-2</v>
      </c>
      <c r="E1137">
        <v>22.6</v>
      </c>
      <c r="F1137" t="s">
        <v>651</v>
      </c>
      <c r="G1137" t="s">
        <v>506</v>
      </c>
      <c r="H1137" t="s">
        <v>32</v>
      </c>
      <c r="I1137">
        <v>13.2</v>
      </c>
      <c r="J1137" t="s">
        <v>652</v>
      </c>
      <c r="K1137" t="s">
        <v>652</v>
      </c>
    </row>
    <row r="1138" spans="1:11" x14ac:dyDescent="0.5">
      <c r="A1138" t="s">
        <v>2321</v>
      </c>
      <c r="B1138" t="s">
        <v>1051</v>
      </c>
      <c r="C1138" t="s">
        <v>2322</v>
      </c>
      <c r="D1138" s="1">
        <v>4.5600000000000002E-2</v>
      </c>
      <c r="E1138">
        <v>32</v>
      </c>
      <c r="F1138" t="s">
        <v>651</v>
      </c>
      <c r="J1138" t="s">
        <v>652</v>
      </c>
      <c r="K1138" t="s">
        <v>652</v>
      </c>
    </row>
    <row r="1139" spans="1:11" x14ac:dyDescent="0.5">
      <c r="A1139" t="s">
        <v>2323</v>
      </c>
      <c r="B1139" t="s">
        <v>1051</v>
      </c>
      <c r="C1139" t="s">
        <v>2324</v>
      </c>
      <c r="D1139" s="1">
        <v>2.7699999999999999E-2</v>
      </c>
      <c r="E1139">
        <v>21.8</v>
      </c>
      <c r="F1139" t="s">
        <v>651</v>
      </c>
      <c r="G1139" t="s">
        <v>506</v>
      </c>
      <c r="H1139" t="s">
        <v>32</v>
      </c>
      <c r="I1139">
        <v>14.27</v>
      </c>
      <c r="J1139" t="s">
        <v>652</v>
      </c>
      <c r="K1139" t="s">
        <v>652</v>
      </c>
    </row>
    <row r="1140" spans="1:11" x14ac:dyDescent="0.5">
      <c r="A1140" t="s">
        <v>2325</v>
      </c>
      <c r="B1140" t="s">
        <v>1051</v>
      </c>
      <c r="C1140" t="s">
        <v>2326</v>
      </c>
      <c r="D1140" s="1">
        <v>6.6600000000000006E-2</v>
      </c>
      <c r="E1140">
        <v>29.2</v>
      </c>
      <c r="F1140" t="s">
        <v>651</v>
      </c>
      <c r="G1140" t="s">
        <v>506</v>
      </c>
      <c r="H1140" t="s">
        <v>506</v>
      </c>
      <c r="I1140">
        <v>3.71</v>
      </c>
      <c r="J1140" t="s">
        <v>652</v>
      </c>
      <c r="K1140" t="s">
        <v>652</v>
      </c>
    </row>
    <row r="1141" spans="1:11" x14ac:dyDescent="0.5">
      <c r="A1141" t="s">
        <v>2327</v>
      </c>
      <c r="B1141" t="s">
        <v>1051</v>
      </c>
      <c r="C1141" t="s">
        <v>2328</v>
      </c>
      <c r="D1141" s="1">
        <v>2.0899999999999998E-2</v>
      </c>
      <c r="E1141">
        <v>31.7</v>
      </c>
      <c r="F1141" t="s">
        <v>651</v>
      </c>
      <c r="G1141" t="s">
        <v>506</v>
      </c>
      <c r="H1141" t="s">
        <v>506</v>
      </c>
      <c r="I1141">
        <v>0</v>
      </c>
      <c r="J1141" t="s">
        <v>652</v>
      </c>
      <c r="K1141" t="s">
        <v>652</v>
      </c>
    </row>
    <row r="1142" spans="1:11" x14ac:dyDescent="0.5">
      <c r="A1142" t="s">
        <v>2329</v>
      </c>
      <c r="B1142" t="s">
        <v>1051</v>
      </c>
      <c r="C1142" t="s">
        <v>2330</v>
      </c>
      <c r="D1142" s="1">
        <v>4.1500000000000002E-2</v>
      </c>
      <c r="E1142">
        <v>31.5</v>
      </c>
      <c r="F1142" t="s">
        <v>651</v>
      </c>
      <c r="J1142" t="s">
        <v>652</v>
      </c>
      <c r="K1142" t="s">
        <v>652</v>
      </c>
    </row>
    <row r="1143" spans="1:11" x14ac:dyDescent="0.5">
      <c r="A1143" t="s">
        <v>2331</v>
      </c>
      <c r="B1143" t="s">
        <v>1051</v>
      </c>
      <c r="C1143" t="s">
        <v>2332</v>
      </c>
      <c r="D1143" s="1">
        <v>1.83E-2</v>
      </c>
      <c r="E1143">
        <v>44.3</v>
      </c>
      <c r="F1143" t="s">
        <v>651</v>
      </c>
      <c r="G1143" t="s">
        <v>254</v>
      </c>
      <c r="H1143" t="s">
        <v>506</v>
      </c>
      <c r="I1143">
        <v>13.88</v>
      </c>
      <c r="J1143" t="s">
        <v>652</v>
      </c>
      <c r="K1143" t="s">
        <v>652</v>
      </c>
    </row>
    <row r="1144" spans="1:11" x14ac:dyDescent="0.5">
      <c r="A1144" t="s">
        <v>2333</v>
      </c>
      <c r="B1144" t="s">
        <v>1051</v>
      </c>
      <c r="C1144" t="s">
        <v>2334</v>
      </c>
      <c r="D1144" s="1">
        <v>8.6999999999999994E-3</v>
      </c>
      <c r="E1144">
        <v>22.4</v>
      </c>
      <c r="F1144" t="s">
        <v>651</v>
      </c>
      <c r="G1144" t="s">
        <v>459</v>
      </c>
      <c r="H1144" t="s">
        <v>254</v>
      </c>
      <c r="I1144">
        <v>44.48</v>
      </c>
      <c r="J1144" t="s">
        <v>652</v>
      </c>
      <c r="K1144" t="s">
        <v>652</v>
      </c>
    </row>
    <row r="1145" spans="1:11" x14ac:dyDescent="0.5">
      <c r="A1145" t="s">
        <v>2335</v>
      </c>
      <c r="B1145" t="s">
        <v>1051</v>
      </c>
      <c r="C1145" t="s">
        <v>2336</v>
      </c>
      <c r="D1145" s="1">
        <v>0.1236</v>
      </c>
      <c r="E1145">
        <v>16.3</v>
      </c>
      <c r="F1145" t="s">
        <v>651</v>
      </c>
      <c r="G1145" t="s">
        <v>254</v>
      </c>
      <c r="H1145" t="s">
        <v>32</v>
      </c>
      <c r="I1145">
        <v>20.87</v>
      </c>
      <c r="J1145" t="s">
        <v>652</v>
      </c>
      <c r="K1145" t="s">
        <v>652</v>
      </c>
    </row>
    <row r="1146" spans="1:11" x14ac:dyDescent="0.5">
      <c r="A1146" t="s">
        <v>2337</v>
      </c>
      <c r="B1146" t="s">
        <v>1051</v>
      </c>
      <c r="C1146" t="s">
        <v>2338</v>
      </c>
      <c r="D1146" s="1">
        <v>2.24E-2</v>
      </c>
      <c r="E1146">
        <v>31.2</v>
      </c>
      <c r="F1146" t="s">
        <v>651</v>
      </c>
      <c r="J1146" t="s">
        <v>652</v>
      </c>
      <c r="K1146" t="s">
        <v>652</v>
      </c>
    </row>
    <row r="1147" spans="1:11" x14ac:dyDescent="0.5">
      <c r="A1147" t="s">
        <v>2339</v>
      </c>
      <c r="B1147" t="s">
        <v>1051</v>
      </c>
      <c r="C1147" t="s">
        <v>2340</v>
      </c>
      <c r="D1147" s="1">
        <v>4.8399999999999999E-2</v>
      </c>
      <c r="E1147">
        <v>31.2</v>
      </c>
      <c r="F1147" t="s">
        <v>651</v>
      </c>
      <c r="J1147" t="s">
        <v>652</v>
      </c>
      <c r="K1147" t="s">
        <v>652</v>
      </c>
    </row>
    <row r="1148" spans="1:11" x14ac:dyDescent="0.5">
      <c r="A1148" t="s">
        <v>2341</v>
      </c>
      <c r="B1148" t="s">
        <v>1051</v>
      </c>
      <c r="C1148" t="s">
        <v>2342</v>
      </c>
      <c r="D1148" s="1">
        <v>3.7400000000000003E-2</v>
      </c>
      <c r="E1148">
        <v>10.1</v>
      </c>
      <c r="F1148" t="s">
        <v>651</v>
      </c>
      <c r="G1148" t="s">
        <v>459</v>
      </c>
      <c r="H1148" t="s">
        <v>506</v>
      </c>
      <c r="I1148">
        <v>29.42</v>
      </c>
      <c r="J1148" t="s">
        <v>652</v>
      </c>
      <c r="K1148" t="s">
        <v>652</v>
      </c>
    </row>
    <row r="1149" spans="1:11" x14ac:dyDescent="0.5">
      <c r="A1149" t="s">
        <v>2343</v>
      </c>
      <c r="B1149" t="s">
        <v>1051</v>
      </c>
      <c r="C1149" t="s">
        <v>2344</v>
      </c>
      <c r="D1149" s="1">
        <v>5.3100000000000001E-2</v>
      </c>
      <c r="E1149">
        <v>10.5</v>
      </c>
      <c r="F1149" t="s">
        <v>651</v>
      </c>
      <c r="G1149" t="s">
        <v>459</v>
      </c>
      <c r="H1149" t="s">
        <v>506</v>
      </c>
      <c r="I1149">
        <v>28.77</v>
      </c>
      <c r="J1149" t="s">
        <v>652</v>
      </c>
      <c r="K1149" t="s">
        <v>652</v>
      </c>
    </row>
    <row r="1150" spans="1:11" x14ac:dyDescent="0.5">
      <c r="A1150" t="s">
        <v>2345</v>
      </c>
      <c r="B1150" t="s">
        <v>1051</v>
      </c>
      <c r="C1150" t="s">
        <v>2346</v>
      </c>
      <c r="D1150" s="1">
        <v>5.2999999999999999E-2</v>
      </c>
      <c r="E1150">
        <v>10.5</v>
      </c>
      <c r="F1150" t="s">
        <v>651</v>
      </c>
      <c r="G1150" t="s">
        <v>254</v>
      </c>
      <c r="H1150" t="s">
        <v>506</v>
      </c>
      <c r="I1150">
        <v>28.69</v>
      </c>
      <c r="J1150" t="s">
        <v>652</v>
      </c>
      <c r="K1150" t="s">
        <v>652</v>
      </c>
    </row>
    <row r="1151" spans="1:11" x14ac:dyDescent="0.5">
      <c r="A1151" t="s">
        <v>2347</v>
      </c>
      <c r="B1151" t="s">
        <v>1051</v>
      </c>
      <c r="C1151" t="s">
        <v>2348</v>
      </c>
      <c r="D1151" s="1">
        <v>1.34E-2</v>
      </c>
      <c r="E1151">
        <v>44.2</v>
      </c>
      <c r="F1151" t="s">
        <v>651</v>
      </c>
      <c r="G1151" t="s">
        <v>506</v>
      </c>
      <c r="H1151" t="s">
        <v>32</v>
      </c>
      <c r="I1151">
        <v>13.2</v>
      </c>
      <c r="J1151" t="s">
        <v>652</v>
      </c>
      <c r="K1151" t="s">
        <v>652</v>
      </c>
    </row>
    <row r="1152" spans="1:11" x14ac:dyDescent="0.5">
      <c r="A1152" t="s">
        <v>2349</v>
      </c>
      <c r="B1152" t="s">
        <v>1051</v>
      </c>
      <c r="C1152" t="s">
        <v>2350</v>
      </c>
      <c r="D1152" s="1">
        <v>1.5800000000000002E-2</v>
      </c>
      <c r="E1152">
        <v>39.5</v>
      </c>
      <c r="F1152" t="s">
        <v>651</v>
      </c>
      <c r="G1152" t="s">
        <v>254</v>
      </c>
      <c r="H1152" t="s">
        <v>32</v>
      </c>
      <c r="I1152">
        <v>19.3</v>
      </c>
      <c r="J1152" t="s">
        <v>652</v>
      </c>
      <c r="K1152" t="s">
        <v>652</v>
      </c>
    </row>
    <row r="1153" spans="1:11" x14ac:dyDescent="0.5">
      <c r="A1153" t="s">
        <v>2351</v>
      </c>
      <c r="B1153" t="s">
        <v>1051</v>
      </c>
      <c r="C1153" t="s">
        <v>2352</v>
      </c>
      <c r="D1153" s="1">
        <v>7.1999999999999998E-3</v>
      </c>
      <c r="E1153">
        <v>21.7</v>
      </c>
      <c r="F1153" t="s">
        <v>651</v>
      </c>
      <c r="G1153" t="s">
        <v>459</v>
      </c>
      <c r="H1153" t="s">
        <v>32</v>
      </c>
      <c r="I1153">
        <v>44.14</v>
      </c>
      <c r="J1153" t="s">
        <v>652</v>
      </c>
      <c r="K1153" t="s">
        <v>652</v>
      </c>
    </row>
    <row r="1154" spans="1:11" x14ac:dyDescent="0.5">
      <c r="A1154" t="s">
        <v>2353</v>
      </c>
      <c r="B1154" t="s">
        <v>1051</v>
      </c>
      <c r="C1154" t="s">
        <v>2354</v>
      </c>
      <c r="D1154" s="1">
        <v>1.5E-3</v>
      </c>
      <c r="E1154">
        <v>31</v>
      </c>
      <c r="F1154" t="s">
        <v>651</v>
      </c>
      <c r="G1154" t="s">
        <v>459</v>
      </c>
      <c r="H1154" t="s">
        <v>32</v>
      </c>
      <c r="I1154">
        <v>30.94</v>
      </c>
      <c r="J1154" t="s">
        <v>652</v>
      </c>
      <c r="K1154" t="s">
        <v>652</v>
      </c>
    </row>
    <row r="1155" spans="1:11" x14ac:dyDescent="0.5">
      <c r="A1155" t="s">
        <v>2355</v>
      </c>
      <c r="B1155" t="s">
        <v>1051</v>
      </c>
      <c r="C1155" t="s">
        <v>2356</v>
      </c>
      <c r="D1155" s="1">
        <v>3.5200000000000002E-2</v>
      </c>
      <c r="E1155">
        <v>30.2</v>
      </c>
      <c r="F1155" t="s">
        <v>651</v>
      </c>
      <c r="J1155" t="s">
        <v>652</v>
      </c>
      <c r="K1155" t="s">
        <v>652</v>
      </c>
    </row>
    <row r="1156" spans="1:11" x14ac:dyDescent="0.5">
      <c r="A1156" t="s">
        <v>2357</v>
      </c>
      <c r="B1156" t="s">
        <v>1051</v>
      </c>
      <c r="C1156" t="s">
        <v>2358</v>
      </c>
      <c r="D1156" s="1">
        <v>4.5699999999999998E-2</v>
      </c>
      <c r="E1156">
        <v>25.4</v>
      </c>
      <c r="F1156" t="s">
        <v>651</v>
      </c>
      <c r="G1156" t="s">
        <v>459</v>
      </c>
      <c r="H1156" t="s">
        <v>506</v>
      </c>
      <c r="I1156">
        <v>6.6</v>
      </c>
      <c r="J1156" t="s">
        <v>652</v>
      </c>
      <c r="K1156" t="s">
        <v>652</v>
      </c>
    </row>
    <row r="1157" spans="1:11" x14ac:dyDescent="0.5">
      <c r="A1157" t="s">
        <v>2359</v>
      </c>
      <c r="B1157" t="s">
        <v>1051</v>
      </c>
      <c r="C1157" t="s">
        <v>2360</v>
      </c>
      <c r="D1157" s="1">
        <v>4.2299999999999997E-2</v>
      </c>
      <c r="E1157">
        <v>30</v>
      </c>
      <c r="F1157" t="s">
        <v>651</v>
      </c>
      <c r="J1157" t="s">
        <v>652</v>
      </c>
      <c r="K1157" t="s">
        <v>652</v>
      </c>
    </row>
    <row r="1158" spans="1:11" x14ac:dyDescent="0.5">
      <c r="A1158" t="s">
        <v>2361</v>
      </c>
      <c r="B1158" t="s">
        <v>1051</v>
      </c>
      <c r="C1158" t="s">
        <v>2362</v>
      </c>
      <c r="D1158" s="1">
        <v>8.9999999999999993E-3</v>
      </c>
      <c r="E1158">
        <v>38.700000000000003</v>
      </c>
      <c r="F1158" t="s">
        <v>651</v>
      </c>
      <c r="G1158" t="s">
        <v>254</v>
      </c>
      <c r="H1158" t="s">
        <v>254</v>
      </c>
      <c r="I1158">
        <v>19.8</v>
      </c>
      <c r="J1158" t="s">
        <v>652</v>
      </c>
      <c r="K1158" t="s">
        <v>652</v>
      </c>
    </row>
    <row r="1159" spans="1:11" x14ac:dyDescent="0.5">
      <c r="A1159" t="s">
        <v>2363</v>
      </c>
      <c r="B1159" t="s">
        <v>1051</v>
      </c>
      <c r="C1159" t="s">
        <v>2364</v>
      </c>
      <c r="D1159" s="1">
        <v>4.4600000000000001E-2</v>
      </c>
      <c r="E1159">
        <v>28.2</v>
      </c>
      <c r="F1159" t="s">
        <v>651</v>
      </c>
      <c r="G1159" t="s">
        <v>506</v>
      </c>
      <c r="H1159" t="s">
        <v>506</v>
      </c>
      <c r="I1159">
        <v>2.5</v>
      </c>
      <c r="J1159" t="s">
        <v>652</v>
      </c>
      <c r="K1159" t="s">
        <v>652</v>
      </c>
    </row>
    <row r="1160" spans="1:11" x14ac:dyDescent="0.5">
      <c r="A1160" t="s">
        <v>2365</v>
      </c>
      <c r="B1160" t="s">
        <v>1051</v>
      </c>
      <c r="C1160" t="s">
        <v>2366</v>
      </c>
      <c r="D1160" s="1">
        <v>4.6800000000000001E-2</v>
      </c>
      <c r="E1160">
        <v>25.2</v>
      </c>
      <c r="F1160" t="s">
        <v>651</v>
      </c>
      <c r="G1160" t="s">
        <v>459</v>
      </c>
      <c r="H1160" t="s">
        <v>506</v>
      </c>
      <c r="I1160">
        <v>6.6</v>
      </c>
      <c r="J1160" t="s">
        <v>652</v>
      </c>
      <c r="K1160" t="s">
        <v>652</v>
      </c>
    </row>
    <row r="1161" spans="1:11" x14ac:dyDescent="0.5">
      <c r="A1161" t="s">
        <v>2367</v>
      </c>
      <c r="B1161" t="s">
        <v>1051</v>
      </c>
      <c r="C1161" t="s">
        <v>2368</v>
      </c>
      <c r="D1161" s="1">
        <v>6.8000000000000005E-2</v>
      </c>
      <c r="E1161">
        <v>10.5</v>
      </c>
      <c r="F1161" t="s">
        <v>651</v>
      </c>
      <c r="G1161" t="s">
        <v>254</v>
      </c>
      <c r="H1161" t="s">
        <v>506</v>
      </c>
      <c r="I1161">
        <v>27.08</v>
      </c>
      <c r="J1161" t="s">
        <v>652</v>
      </c>
      <c r="K1161" t="s">
        <v>652</v>
      </c>
    </row>
    <row r="1162" spans="1:11" x14ac:dyDescent="0.5">
      <c r="A1162" t="s">
        <v>2369</v>
      </c>
      <c r="B1162" t="s">
        <v>1051</v>
      </c>
      <c r="C1162" t="s">
        <v>2370</v>
      </c>
      <c r="D1162" s="1">
        <v>1.37E-2</v>
      </c>
      <c r="E1162">
        <v>42.9</v>
      </c>
      <c r="F1162" t="s">
        <v>651</v>
      </c>
      <c r="G1162" t="s">
        <v>254</v>
      </c>
      <c r="H1162" t="s">
        <v>506</v>
      </c>
      <c r="I1162">
        <v>13.42</v>
      </c>
      <c r="J1162" t="s">
        <v>652</v>
      </c>
      <c r="K1162" t="s">
        <v>652</v>
      </c>
    </row>
    <row r="1163" spans="1:11" x14ac:dyDescent="0.5">
      <c r="A1163" t="s">
        <v>2371</v>
      </c>
      <c r="B1163" t="s">
        <v>1051</v>
      </c>
      <c r="C1163" t="s">
        <v>2372</v>
      </c>
      <c r="D1163" s="1">
        <v>9.9000000000000008E-3</v>
      </c>
      <c r="E1163">
        <v>52.4</v>
      </c>
      <c r="F1163" t="s">
        <v>651</v>
      </c>
      <c r="J1163" t="s">
        <v>652</v>
      </c>
      <c r="K1163" t="s">
        <v>652</v>
      </c>
    </row>
    <row r="1164" spans="1:11" x14ac:dyDescent="0.5">
      <c r="A1164" t="s">
        <v>2373</v>
      </c>
      <c r="B1164" t="s">
        <v>1051</v>
      </c>
      <c r="C1164" t="s">
        <v>2374</v>
      </c>
      <c r="D1164" s="1">
        <v>3.2099999999999997E-2</v>
      </c>
      <c r="E1164">
        <v>29.5</v>
      </c>
      <c r="F1164" t="s">
        <v>651</v>
      </c>
      <c r="J1164" t="s">
        <v>652</v>
      </c>
      <c r="K1164" t="s">
        <v>652</v>
      </c>
    </row>
    <row r="1165" spans="1:11" x14ac:dyDescent="0.5">
      <c r="A1165" t="s">
        <v>2375</v>
      </c>
      <c r="B1165" t="s">
        <v>1051</v>
      </c>
      <c r="C1165" t="s">
        <v>2376</v>
      </c>
      <c r="D1165" s="1">
        <v>4.0099999999999997E-2</v>
      </c>
      <c r="E1165">
        <v>10.5</v>
      </c>
      <c r="F1165" t="s">
        <v>651</v>
      </c>
      <c r="G1165" t="s">
        <v>459</v>
      </c>
      <c r="H1165" t="s">
        <v>506</v>
      </c>
      <c r="I1165">
        <v>26.57</v>
      </c>
      <c r="J1165" t="s">
        <v>652</v>
      </c>
      <c r="K1165" t="s">
        <v>652</v>
      </c>
    </row>
    <row r="1166" spans="1:11" x14ac:dyDescent="0.5">
      <c r="A1166" t="s">
        <v>2377</v>
      </c>
      <c r="B1166" t="s">
        <v>1051</v>
      </c>
      <c r="C1166" t="s">
        <v>2378</v>
      </c>
      <c r="D1166" s="1">
        <v>1.6299999999999999E-2</v>
      </c>
      <c r="E1166">
        <v>40.700000000000003</v>
      </c>
      <c r="F1166" t="s">
        <v>651</v>
      </c>
      <c r="G1166" t="s">
        <v>506</v>
      </c>
      <c r="H1166" t="s">
        <v>32</v>
      </c>
      <c r="I1166">
        <v>16.18</v>
      </c>
      <c r="J1166" t="s">
        <v>652</v>
      </c>
      <c r="K1166" t="s">
        <v>652</v>
      </c>
    </row>
    <row r="1167" spans="1:11" x14ac:dyDescent="0.5">
      <c r="A1167" t="s">
        <v>2379</v>
      </c>
      <c r="B1167" t="s">
        <v>1051</v>
      </c>
      <c r="C1167" t="s">
        <v>2380</v>
      </c>
      <c r="D1167" s="1">
        <v>3.5999999999999999E-3</v>
      </c>
      <c r="E1167">
        <v>21.5</v>
      </c>
      <c r="F1167" t="s">
        <v>651</v>
      </c>
      <c r="G1167" t="s">
        <v>253</v>
      </c>
      <c r="H1167" t="s">
        <v>254</v>
      </c>
      <c r="I1167">
        <v>43.04</v>
      </c>
      <c r="J1167" t="s">
        <v>652</v>
      </c>
      <c r="K1167" t="s">
        <v>652</v>
      </c>
    </row>
    <row r="1168" spans="1:11" x14ac:dyDescent="0.5">
      <c r="A1168" t="s">
        <v>2381</v>
      </c>
      <c r="B1168" t="s">
        <v>1051</v>
      </c>
      <c r="C1168" t="s">
        <v>2382</v>
      </c>
      <c r="D1168" s="1">
        <v>1.5599999999999999E-2</v>
      </c>
      <c r="E1168">
        <v>52.2</v>
      </c>
      <c r="F1168" t="s">
        <v>651</v>
      </c>
      <c r="J1168" t="s">
        <v>652</v>
      </c>
      <c r="K1168" t="s">
        <v>652</v>
      </c>
    </row>
    <row r="1169" spans="1:11" x14ac:dyDescent="0.5">
      <c r="A1169" t="s">
        <v>2383</v>
      </c>
      <c r="B1169" t="s">
        <v>1051</v>
      </c>
      <c r="C1169" t="s">
        <v>2384</v>
      </c>
      <c r="D1169" s="1">
        <v>7.4999999999999997E-3</v>
      </c>
      <c r="E1169">
        <v>52.1</v>
      </c>
      <c r="F1169" t="s">
        <v>651</v>
      </c>
      <c r="J1169" t="s">
        <v>652</v>
      </c>
      <c r="K1169" t="s">
        <v>652</v>
      </c>
    </row>
    <row r="1170" spans="1:11" x14ac:dyDescent="0.5">
      <c r="A1170" t="s">
        <v>2385</v>
      </c>
      <c r="B1170" t="s">
        <v>1051</v>
      </c>
      <c r="C1170" t="s">
        <v>2386</v>
      </c>
      <c r="D1170" s="1">
        <v>6.6600000000000006E-2</v>
      </c>
      <c r="E1170">
        <v>29.1</v>
      </c>
      <c r="F1170" t="s">
        <v>651</v>
      </c>
      <c r="J1170" t="s">
        <v>652</v>
      </c>
      <c r="K1170" t="s">
        <v>652</v>
      </c>
    </row>
    <row r="1171" spans="1:11" x14ac:dyDescent="0.5">
      <c r="A1171" t="s">
        <v>2387</v>
      </c>
      <c r="B1171" t="s">
        <v>1051</v>
      </c>
      <c r="C1171" t="s">
        <v>2388</v>
      </c>
      <c r="D1171" s="1">
        <v>6.2199999999999998E-2</v>
      </c>
      <c r="E1171">
        <v>29.1</v>
      </c>
      <c r="F1171" t="s">
        <v>651</v>
      </c>
      <c r="J1171" t="s">
        <v>652</v>
      </c>
      <c r="K1171" t="s">
        <v>652</v>
      </c>
    </row>
    <row r="1172" spans="1:11" x14ac:dyDescent="0.5">
      <c r="A1172" t="s">
        <v>2389</v>
      </c>
      <c r="B1172" t="s">
        <v>1051</v>
      </c>
      <c r="C1172" t="s">
        <v>2390</v>
      </c>
      <c r="D1172" s="1">
        <v>6.1000000000000004E-3</v>
      </c>
      <c r="E1172">
        <v>40.9</v>
      </c>
      <c r="F1172" t="s">
        <v>651</v>
      </c>
      <c r="G1172" t="s">
        <v>506</v>
      </c>
      <c r="H1172" t="s">
        <v>32</v>
      </c>
      <c r="I1172">
        <v>15.47</v>
      </c>
      <c r="J1172" t="s">
        <v>652</v>
      </c>
      <c r="K1172" t="s">
        <v>652</v>
      </c>
    </row>
    <row r="1173" spans="1:11" x14ac:dyDescent="0.5">
      <c r="A1173" t="s">
        <v>2391</v>
      </c>
      <c r="B1173" t="s">
        <v>1051</v>
      </c>
      <c r="C1173" t="s">
        <v>2392</v>
      </c>
      <c r="D1173" s="1">
        <v>5.4300000000000001E-2</v>
      </c>
      <c r="E1173">
        <v>10.5</v>
      </c>
      <c r="F1173" t="s">
        <v>651</v>
      </c>
      <c r="G1173" t="s">
        <v>459</v>
      </c>
      <c r="H1173" t="s">
        <v>506</v>
      </c>
      <c r="I1173">
        <v>25.95</v>
      </c>
      <c r="J1173" t="s">
        <v>652</v>
      </c>
      <c r="K1173" t="s">
        <v>652</v>
      </c>
    </row>
    <row r="1174" spans="1:11" x14ac:dyDescent="0.5">
      <c r="A1174" t="s">
        <v>2393</v>
      </c>
      <c r="B1174" t="s">
        <v>1051</v>
      </c>
      <c r="C1174" t="s">
        <v>2394</v>
      </c>
      <c r="D1174" s="1">
        <v>4.36E-2</v>
      </c>
      <c r="E1174">
        <v>28.8</v>
      </c>
      <c r="F1174" t="s">
        <v>651</v>
      </c>
      <c r="J1174" t="s">
        <v>652</v>
      </c>
      <c r="K1174" t="s">
        <v>652</v>
      </c>
    </row>
    <row r="1175" spans="1:11" x14ac:dyDescent="0.5">
      <c r="A1175" t="s">
        <v>2395</v>
      </c>
      <c r="B1175" t="s">
        <v>1051</v>
      </c>
      <c r="C1175" t="s">
        <v>2396</v>
      </c>
      <c r="D1175" s="1">
        <v>4.2000000000000003E-2</v>
      </c>
      <c r="E1175">
        <v>27.4</v>
      </c>
      <c r="F1175" t="s">
        <v>651</v>
      </c>
      <c r="G1175" t="s">
        <v>506</v>
      </c>
      <c r="H1175" t="s">
        <v>506</v>
      </c>
      <c r="I1175">
        <v>1.61</v>
      </c>
      <c r="J1175" t="s">
        <v>652</v>
      </c>
      <c r="K1175" t="s">
        <v>652</v>
      </c>
    </row>
    <row r="1176" spans="1:11" x14ac:dyDescent="0.5">
      <c r="A1176" t="s">
        <v>2397</v>
      </c>
      <c r="B1176" t="s">
        <v>1051</v>
      </c>
      <c r="C1176" t="s">
        <v>2398</v>
      </c>
      <c r="D1176" s="1">
        <v>3.6200000000000003E-2</v>
      </c>
      <c r="E1176">
        <v>28.5</v>
      </c>
      <c r="F1176" t="s">
        <v>651</v>
      </c>
      <c r="J1176" t="s">
        <v>652</v>
      </c>
      <c r="K1176" t="s">
        <v>652</v>
      </c>
    </row>
    <row r="1177" spans="1:11" x14ac:dyDescent="0.5">
      <c r="A1177" t="s">
        <v>2399</v>
      </c>
      <c r="B1177" t="s">
        <v>1051</v>
      </c>
      <c r="C1177" t="s">
        <v>2400</v>
      </c>
      <c r="D1177" s="1">
        <v>4.4699999999999997E-2</v>
      </c>
      <c r="E1177">
        <v>28.4</v>
      </c>
      <c r="F1177" t="s">
        <v>651</v>
      </c>
      <c r="J1177" t="s">
        <v>652</v>
      </c>
      <c r="K1177" t="s">
        <v>652</v>
      </c>
    </row>
    <row r="1178" spans="1:11" x14ac:dyDescent="0.5">
      <c r="A1178" t="s">
        <v>2401</v>
      </c>
      <c r="B1178" t="s">
        <v>1051</v>
      </c>
      <c r="C1178" t="s">
        <v>2402</v>
      </c>
      <c r="D1178" s="1">
        <v>4.8599999999999997E-2</v>
      </c>
      <c r="E1178">
        <v>28.4</v>
      </c>
      <c r="F1178" t="s">
        <v>651</v>
      </c>
      <c r="J1178" t="s">
        <v>652</v>
      </c>
      <c r="K1178" t="s">
        <v>652</v>
      </c>
    </row>
    <row r="1179" spans="1:11" x14ac:dyDescent="0.5">
      <c r="A1179" t="s">
        <v>2403</v>
      </c>
      <c r="B1179" t="s">
        <v>1051</v>
      </c>
      <c r="C1179" t="s">
        <v>2404</v>
      </c>
      <c r="D1179" s="1">
        <v>2.7000000000000001E-3</v>
      </c>
      <c r="E1179">
        <v>51.2</v>
      </c>
      <c r="F1179" t="s">
        <v>651</v>
      </c>
      <c r="J1179" t="s">
        <v>652</v>
      </c>
      <c r="K1179" t="s">
        <v>652</v>
      </c>
    </row>
    <row r="1180" spans="1:11" x14ac:dyDescent="0.5">
      <c r="A1180" t="s">
        <v>2405</v>
      </c>
      <c r="B1180" t="s">
        <v>1051</v>
      </c>
      <c r="C1180" t="s">
        <v>2406</v>
      </c>
      <c r="D1180" s="1">
        <v>4.9500000000000002E-2</v>
      </c>
      <c r="E1180">
        <v>28.2</v>
      </c>
      <c r="F1180" t="s">
        <v>651</v>
      </c>
      <c r="J1180" t="s">
        <v>652</v>
      </c>
      <c r="K1180" t="s">
        <v>652</v>
      </c>
    </row>
    <row r="1181" spans="1:11" x14ac:dyDescent="0.5">
      <c r="A1181" t="s">
        <v>2407</v>
      </c>
      <c r="B1181" t="s">
        <v>1051</v>
      </c>
      <c r="C1181" t="s">
        <v>2408</v>
      </c>
      <c r="D1181" s="1">
        <v>1.7899999999999999E-2</v>
      </c>
      <c r="E1181">
        <v>50.8</v>
      </c>
      <c r="F1181" t="s">
        <v>651</v>
      </c>
      <c r="J1181" t="s">
        <v>652</v>
      </c>
      <c r="K1181" t="s">
        <v>652</v>
      </c>
    </row>
    <row r="1182" spans="1:11" x14ac:dyDescent="0.5">
      <c r="A1182" t="s">
        <v>2409</v>
      </c>
      <c r="B1182" t="s">
        <v>1051</v>
      </c>
      <c r="C1182" t="s">
        <v>2410</v>
      </c>
      <c r="D1182" s="1">
        <v>3.78E-2</v>
      </c>
      <c r="E1182">
        <v>26.1</v>
      </c>
      <c r="F1182" t="s">
        <v>651</v>
      </c>
      <c r="G1182" t="s">
        <v>506</v>
      </c>
      <c r="H1182" t="s">
        <v>506</v>
      </c>
      <c r="I1182">
        <v>2.46</v>
      </c>
      <c r="J1182" t="s">
        <v>652</v>
      </c>
      <c r="K1182" t="s">
        <v>652</v>
      </c>
    </row>
    <row r="1183" spans="1:11" x14ac:dyDescent="0.5">
      <c r="A1183" t="s">
        <v>2411</v>
      </c>
      <c r="B1183" t="s">
        <v>1051</v>
      </c>
      <c r="C1183" t="s">
        <v>2412</v>
      </c>
      <c r="D1183" s="1">
        <v>4.4999999999999997E-3</v>
      </c>
      <c r="E1183">
        <v>39.4</v>
      </c>
      <c r="F1183" t="s">
        <v>651</v>
      </c>
      <c r="G1183" t="s">
        <v>506</v>
      </c>
      <c r="H1183" t="s">
        <v>32</v>
      </c>
      <c r="I1183">
        <v>15.6</v>
      </c>
      <c r="J1183" t="s">
        <v>652</v>
      </c>
      <c r="K1183" t="s">
        <v>652</v>
      </c>
    </row>
    <row r="1184" spans="1:11" x14ac:dyDescent="0.5">
      <c r="A1184" t="s">
        <v>2413</v>
      </c>
      <c r="B1184" t="s">
        <v>1051</v>
      </c>
      <c r="C1184" t="s">
        <v>2414</v>
      </c>
      <c r="D1184" s="1">
        <v>3.61E-2</v>
      </c>
      <c r="E1184">
        <v>27.6</v>
      </c>
      <c r="F1184" t="s">
        <v>651</v>
      </c>
      <c r="J1184" t="s">
        <v>652</v>
      </c>
      <c r="K1184" t="s">
        <v>652</v>
      </c>
    </row>
    <row r="1185" spans="1:11" x14ac:dyDescent="0.5">
      <c r="A1185" t="s">
        <v>2415</v>
      </c>
      <c r="B1185" t="s">
        <v>1051</v>
      </c>
      <c r="C1185" t="s">
        <v>2416</v>
      </c>
      <c r="D1185" s="1">
        <v>1.04E-2</v>
      </c>
      <c r="E1185">
        <v>50.3</v>
      </c>
      <c r="F1185" t="s">
        <v>651</v>
      </c>
      <c r="J1185" t="s">
        <v>652</v>
      </c>
      <c r="K1185" t="s">
        <v>652</v>
      </c>
    </row>
    <row r="1186" spans="1:11" x14ac:dyDescent="0.5">
      <c r="A1186" t="s">
        <v>2417</v>
      </c>
      <c r="B1186" t="s">
        <v>1051</v>
      </c>
      <c r="C1186" t="s">
        <v>2418</v>
      </c>
      <c r="D1186" s="1">
        <v>4.1799999999999997E-2</v>
      </c>
      <c r="E1186">
        <v>27.2</v>
      </c>
      <c r="F1186" t="s">
        <v>651</v>
      </c>
      <c r="J1186" t="s">
        <v>652</v>
      </c>
      <c r="K1186" t="s">
        <v>652</v>
      </c>
    </row>
    <row r="1187" spans="1:11" x14ac:dyDescent="0.5">
      <c r="A1187" t="s">
        <v>2419</v>
      </c>
      <c r="B1187" t="s">
        <v>1051</v>
      </c>
      <c r="C1187" t="s">
        <v>2420</v>
      </c>
      <c r="D1187" s="1">
        <v>6.7900000000000002E-2</v>
      </c>
      <c r="E1187">
        <v>27.2</v>
      </c>
      <c r="F1187" t="s">
        <v>651</v>
      </c>
      <c r="J1187" t="s">
        <v>652</v>
      </c>
      <c r="K1187" t="s">
        <v>652</v>
      </c>
    </row>
    <row r="1188" spans="1:11" x14ac:dyDescent="0.5">
      <c r="A1188" t="s">
        <v>2421</v>
      </c>
      <c r="B1188" t="s">
        <v>1051</v>
      </c>
      <c r="C1188" t="s">
        <v>2422</v>
      </c>
      <c r="D1188" s="1">
        <v>6.2700000000000006E-2</v>
      </c>
      <c r="E1188">
        <v>27.2</v>
      </c>
      <c r="F1188" t="s">
        <v>651</v>
      </c>
      <c r="J1188" t="s">
        <v>652</v>
      </c>
      <c r="K1188" t="s">
        <v>652</v>
      </c>
    </row>
    <row r="1189" spans="1:11" x14ac:dyDescent="0.5">
      <c r="A1189" t="s">
        <v>2423</v>
      </c>
      <c r="B1189" t="s">
        <v>1051</v>
      </c>
      <c r="C1189" t="s">
        <v>2424</v>
      </c>
      <c r="D1189" s="1">
        <v>9.7000000000000003E-3</v>
      </c>
      <c r="E1189">
        <v>37.5</v>
      </c>
      <c r="F1189" t="s">
        <v>651</v>
      </c>
      <c r="G1189" t="s">
        <v>506</v>
      </c>
      <c r="H1189" t="s">
        <v>32</v>
      </c>
      <c r="I1189">
        <v>17.420000000000002</v>
      </c>
      <c r="J1189" t="s">
        <v>652</v>
      </c>
      <c r="K1189" t="s">
        <v>652</v>
      </c>
    </row>
    <row r="1190" spans="1:11" x14ac:dyDescent="0.5">
      <c r="A1190" t="s">
        <v>2425</v>
      </c>
      <c r="B1190" t="s">
        <v>1051</v>
      </c>
      <c r="C1190" t="s">
        <v>2426</v>
      </c>
      <c r="D1190" s="1">
        <v>3.6499999999999998E-2</v>
      </c>
      <c r="E1190">
        <v>26.8</v>
      </c>
      <c r="F1190" t="s">
        <v>651</v>
      </c>
      <c r="J1190" t="s">
        <v>652</v>
      </c>
      <c r="K1190" t="s">
        <v>652</v>
      </c>
    </row>
    <row r="1191" spans="1:11" x14ac:dyDescent="0.5">
      <c r="A1191" t="s">
        <v>2427</v>
      </c>
      <c r="B1191" t="s">
        <v>1051</v>
      </c>
      <c r="C1191" t="s">
        <v>2428</v>
      </c>
      <c r="D1191" s="1">
        <v>1.04E-2</v>
      </c>
      <c r="E1191">
        <v>49.5</v>
      </c>
      <c r="F1191" t="s">
        <v>651</v>
      </c>
      <c r="G1191" t="s">
        <v>506</v>
      </c>
      <c r="H1191" t="s">
        <v>506</v>
      </c>
      <c r="I1191">
        <v>0</v>
      </c>
      <c r="J1191" t="s">
        <v>652</v>
      </c>
      <c r="K1191" t="s">
        <v>652</v>
      </c>
    </row>
    <row r="1192" spans="1:11" x14ac:dyDescent="0.5">
      <c r="A1192" t="s">
        <v>2429</v>
      </c>
      <c r="B1192" t="s">
        <v>1051</v>
      </c>
      <c r="C1192" t="s">
        <v>2430</v>
      </c>
      <c r="D1192" s="1">
        <v>3.6499999999999998E-2</v>
      </c>
      <c r="E1192">
        <v>26.6</v>
      </c>
      <c r="F1192" t="s">
        <v>651</v>
      </c>
      <c r="J1192" t="s">
        <v>652</v>
      </c>
      <c r="K1192" t="s">
        <v>652</v>
      </c>
    </row>
    <row r="1193" spans="1:11" x14ac:dyDescent="0.5">
      <c r="A1193" t="s">
        <v>2431</v>
      </c>
      <c r="B1193" t="s">
        <v>1051</v>
      </c>
      <c r="C1193" t="s">
        <v>2432</v>
      </c>
      <c r="D1193" s="1">
        <v>5.9400000000000001E-2</v>
      </c>
      <c r="E1193">
        <v>26.5</v>
      </c>
      <c r="F1193" t="s">
        <v>651</v>
      </c>
      <c r="J1193" t="s">
        <v>652</v>
      </c>
      <c r="K1193" t="s">
        <v>652</v>
      </c>
    </row>
    <row r="1194" spans="1:11" x14ac:dyDescent="0.5">
      <c r="A1194" t="s">
        <v>2433</v>
      </c>
      <c r="B1194" t="s">
        <v>1051</v>
      </c>
      <c r="C1194" t="s">
        <v>2434</v>
      </c>
      <c r="D1194" s="1">
        <v>5.1200000000000002E-2</v>
      </c>
      <c r="E1194">
        <v>26.5</v>
      </c>
      <c r="F1194" t="s">
        <v>651</v>
      </c>
      <c r="J1194" t="s">
        <v>652</v>
      </c>
      <c r="K1194" t="s">
        <v>652</v>
      </c>
    </row>
    <row r="1195" spans="1:11" x14ac:dyDescent="0.5">
      <c r="A1195" t="s">
        <v>2435</v>
      </c>
      <c r="B1195" t="s">
        <v>1051</v>
      </c>
      <c r="C1195" t="s">
        <v>2436</v>
      </c>
      <c r="D1195" s="1">
        <v>4.2999999999999997E-2</v>
      </c>
      <c r="E1195">
        <v>26.4</v>
      </c>
      <c r="F1195" t="s">
        <v>651</v>
      </c>
      <c r="J1195" t="s">
        <v>652</v>
      </c>
      <c r="K1195" t="s">
        <v>652</v>
      </c>
    </row>
    <row r="1196" spans="1:11" x14ac:dyDescent="0.5">
      <c r="A1196" t="s">
        <v>2437</v>
      </c>
      <c r="B1196" t="s">
        <v>1051</v>
      </c>
      <c r="C1196" t="s">
        <v>2438</v>
      </c>
      <c r="D1196" s="1">
        <v>2.3699999999999999E-2</v>
      </c>
      <c r="E1196">
        <v>26.4</v>
      </c>
      <c r="F1196" t="s">
        <v>651</v>
      </c>
      <c r="J1196" t="s">
        <v>652</v>
      </c>
      <c r="K1196" t="s">
        <v>652</v>
      </c>
    </row>
    <row r="1197" spans="1:11" x14ac:dyDescent="0.5">
      <c r="A1197" t="s">
        <v>2439</v>
      </c>
      <c r="B1197" t="s">
        <v>1051</v>
      </c>
      <c r="C1197" t="s">
        <v>2440</v>
      </c>
      <c r="D1197" s="1">
        <v>3.9600000000000003E-2</v>
      </c>
      <c r="E1197">
        <v>26.4</v>
      </c>
      <c r="F1197" t="s">
        <v>651</v>
      </c>
      <c r="J1197" t="s">
        <v>652</v>
      </c>
      <c r="K1197" t="s">
        <v>652</v>
      </c>
    </row>
    <row r="1198" spans="1:11" x14ac:dyDescent="0.5">
      <c r="A1198" t="s">
        <v>2441</v>
      </c>
      <c r="B1198" t="s">
        <v>1051</v>
      </c>
      <c r="C1198" t="s">
        <v>2442</v>
      </c>
      <c r="D1198" s="1">
        <v>7.3000000000000001E-3</v>
      </c>
      <c r="E1198">
        <v>49.2</v>
      </c>
      <c r="F1198" t="s">
        <v>651</v>
      </c>
      <c r="J1198" t="s">
        <v>652</v>
      </c>
      <c r="K1198" t="s">
        <v>652</v>
      </c>
    </row>
    <row r="1199" spans="1:11" x14ac:dyDescent="0.5">
      <c r="A1199" t="s">
        <v>2443</v>
      </c>
      <c r="B1199" t="s">
        <v>1051</v>
      </c>
      <c r="C1199" t="s">
        <v>2444</v>
      </c>
      <c r="D1199" s="1">
        <v>1.04E-2</v>
      </c>
      <c r="E1199">
        <v>48.2</v>
      </c>
      <c r="F1199" t="s">
        <v>651</v>
      </c>
      <c r="G1199" t="s">
        <v>506</v>
      </c>
      <c r="H1199" t="s">
        <v>506</v>
      </c>
      <c r="I1199">
        <v>1.35</v>
      </c>
      <c r="J1199" t="s">
        <v>652</v>
      </c>
      <c r="K1199" t="s">
        <v>652</v>
      </c>
    </row>
    <row r="1200" spans="1:11" x14ac:dyDescent="0.5">
      <c r="A1200" t="s">
        <v>2445</v>
      </c>
      <c r="B1200" t="s">
        <v>1051</v>
      </c>
      <c r="C1200" t="s">
        <v>2446</v>
      </c>
      <c r="D1200" s="1">
        <v>4.5699999999999998E-2</v>
      </c>
      <c r="E1200">
        <v>26</v>
      </c>
      <c r="F1200" t="s">
        <v>651</v>
      </c>
      <c r="J1200" t="s">
        <v>652</v>
      </c>
      <c r="K1200" t="s">
        <v>652</v>
      </c>
    </row>
    <row r="1201" spans="1:11" x14ac:dyDescent="0.5">
      <c r="A1201" t="s">
        <v>2447</v>
      </c>
      <c r="B1201" t="s">
        <v>1051</v>
      </c>
      <c r="C1201" t="s">
        <v>2448</v>
      </c>
      <c r="D1201" s="1">
        <v>4.6800000000000001E-2</v>
      </c>
      <c r="E1201">
        <v>25.8</v>
      </c>
      <c r="F1201" t="s">
        <v>651</v>
      </c>
      <c r="J1201" t="s">
        <v>652</v>
      </c>
      <c r="K1201" t="s">
        <v>652</v>
      </c>
    </row>
    <row r="1202" spans="1:11" x14ac:dyDescent="0.5">
      <c r="A1202" t="s">
        <v>2449</v>
      </c>
      <c r="B1202" t="s">
        <v>1051</v>
      </c>
      <c r="C1202" t="s">
        <v>2450</v>
      </c>
      <c r="D1202" s="1">
        <v>9.4999999999999998E-3</v>
      </c>
      <c r="E1202">
        <v>40.1</v>
      </c>
      <c r="F1202" t="s">
        <v>651</v>
      </c>
      <c r="G1202" t="s">
        <v>254</v>
      </c>
      <c r="H1202" t="s">
        <v>506</v>
      </c>
      <c r="I1202">
        <v>11.87</v>
      </c>
      <c r="J1202" t="s">
        <v>652</v>
      </c>
      <c r="K1202" t="s">
        <v>652</v>
      </c>
    </row>
    <row r="1203" spans="1:11" x14ac:dyDescent="0.5">
      <c r="A1203" t="s">
        <v>2451</v>
      </c>
      <c r="B1203" t="s">
        <v>1051</v>
      </c>
      <c r="C1203" t="s">
        <v>2452</v>
      </c>
      <c r="D1203" s="1">
        <v>6.9199999999999998E-2</v>
      </c>
      <c r="E1203">
        <v>25.5</v>
      </c>
      <c r="F1203" t="s">
        <v>651</v>
      </c>
      <c r="J1203" t="s">
        <v>652</v>
      </c>
      <c r="K1203" t="s">
        <v>652</v>
      </c>
    </row>
    <row r="1204" spans="1:11" x14ac:dyDescent="0.5">
      <c r="A1204" t="s">
        <v>2453</v>
      </c>
      <c r="B1204" t="s">
        <v>1051</v>
      </c>
      <c r="C1204" t="s">
        <v>2454</v>
      </c>
      <c r="D1204" s="1">
        <v>6.7999999999999996E-3</v>
      </c>
      <c r="E1204">
        <v>36.5</v>
      </c>
      <c r="F1204" t="s">
        <v>651</v>
      </c>
      <c r="G1204" t="s">
        <v>506</v>
      </c>
      <c r="H1204" t="s">
        <v>32</v>
      </c>
      <c r="I1204">
        <v>16.579999999999998</v>
      </c>
      <c r="J1204" t="s">
        <v>652</v>
      </c>
      <c r="K1204" t="s">
        <v>652</v>
      </c>
    </row>
    <row r="1205" spans="1:11" x14ac:dyDescent="0.5">
      <c r="A1205" t="s">
        <v>2455</v>
      </c>
      <c r="B1205" t="s">
        <v>1051</v>
      </c>
      <c r="C1205" t="s">
        <v>2456</v>
      </c>
      <c r="D1205" s="1">
        <v>8.2100000000000006E-2</v>
      </c>
      <c r="E1205">
        <v>10.5</v>
      </c>
      <c r="F1205" t="s">
        <v>651</v>
      </c>
      <c r="G1205" t="s">
        <v>506</v>
      </c>
      <c r="H1205" t="s">
        <v>32</v>
      </c>
      <c r="I1205">
        <v>20.9</v>
      </c>
      <c r="J1205" t="s">
        <v>652</v>
      </c>
      <c r="K1205" t="s">
        <v>652</v>
      </c>
    </row>
    <row r="1206" spans="1:11" x14ac:dyDescent="0.5">
      <c r="A1206" t="s">
        <v>2457</v>
      </c>
      <c r="B1206" t="s">
        <v>1051</v>
      </c>
      <c r="C1206" t="s">
        <v>2458</v>
      </c>
      <c r="D1206" s="1">
        <v>8.2699999999999996E-2</v>
      </c>
      <c r="E1206">
        <v>25.4</v>
      </c>
      <c r="F1206" t="s">
        <v>651</v>
      </c>
      <c r="J1206" t="s">
        <v>652</v>
      </c>
      <c r="K1206" t="s">
        <v>652</v>
      </c>
    </row>
    <row r="1207" spans="1:11" x14ac:dyDescent="0.5">
      <c r="A1207" t="s">
        <v>2459</v>
      </c>
      <c r="B1207" t="s">
        <v>1051</v>
      </c>
      <c r="C1207" t="s">
        <v>2460</v>
      </c>
      <c r="D1207" s="1">
        <v>1.0699999999999999E-2</v>
      </c>
      <c r="E1207">
        <v>40.1</v>
      </c>
      <c r="F1207" t="s">
        <v>651</v>
      </c>
      <c r="G1207" t="s">
        <v>254</v>
      </c>
      <c r="H1207" t="s">
        <v>506</v>
      </c>
      <c r="I1207">
        <v>11.17</v>
      </c>
      <c r="J1207" t="s">
        <v>652</v>
      </c>
      <c r="K1207" t="s">
        <v>652</v>
      </c>
    </row>
    <row r="1208" spans="1:11" x14ac:dyDescent="0.5">
      <c r="A1208" t="s">
        <v>2461</v>
      </c>
      <c r="B1208" t="s">
        <v>1051</v>
      </c>
      <c r="C1208" t="s">
        <v>2462</v>
      </c>
      <c r="D1208" s="1">
        <v>4.2999999999999997E-2</v>
      </c>
      <c r="E1208">
        <v>25.2</v>
      </c>
      <c r="F1208" t="s">
        <v>651</v>
      </c>
      <c r="J1208" t="s">
        <v>652</v>
      </c>
      <c r="K1208" t="s">
        <v>652</v>
      </c>
    </row>
    <row r="1209" spans="1:11" x14ac:dyDescent="0.5">
      <c r="A1209" t="s">
        <v>2463</v>
      </c>
      <c r="B1209" t="s">
        <v>1051</v>
      </c>
      <c r="C1209" t="s">
        <v>2464</v>
      </c>
      <c r="D1209" s="1">
        <v>2.8799999999999999E-2</v>
      </c>
      <c r="E1209">
        <v>25.1</v>
      </c>
      <c r="F1209" t="s">
        <v>651</v>
      </c>
      <c r="J1209" t="s">
        <v>652</v>
      </c>
      <c r="K1209" t="s">
        <v>652</v>
      </c>
    </row>
    <row r="1210" spans="1:11" x14ac:dyDescent="0.5">
      <c r="A1210" t="s">
        <v>2465</v>
      </c>
      <c r="B1210" t="s">
        <v>1051</v>
      </c>
      <c r="C1210" t="s">
        <v>2466</v>
      </c>
      <c r="D1210" s="1">
        <v>4.58E-2</v>
      </c>
      <c r="E1210">
        <v>25</v>
      </c>
      <c r="F1210" t="s">
        <v>651</v>
      </c>
      <c r="J1210" t="s">
        <v>652</v>
      </c>
      <c r="K1210" t="s">
        <v>652</v>
      </c>
    </row>
    <row r="1211" spans="1:11" x14ac:dyDescent="0.5">
      <c r="A1211" t="s">
        <v>2467</v>
      </c>
      <c r="B1211" t="s">
        <v>1051</v>
      </c>
      <c r="C1211" t="s">
        <v>2468</v>
      </c>
      <c r="D1211" s="1">
        <v>5.8700000000000002E-2</v>
      </c>
      <c r="E1211">
        <v>25</v>
      </c>
      <c r="F1211" t="s">
        <v>651</v>
      </c>
      <c r="J1211" t="s">
        <v>652</v>
      </c>
      <c r="K1211" t="s">
        <v>652</v>
      </c>
    </row>
    <row r="1212" spans="1:11" x14ac:dyDescent="0.5">
      <c r="A1212" t="s">
        <v>2469</v>
      </c>
      <c r="B1212" t="s">
        <v>1051</v>
      </c>
      <c r="C1212" t="s">
        <v>2470</v>
      </c>
      <c r="D1212" s="1">
        <v>4.4200000000000003E-2</v>
      </c>
      <c r="E1212">
        <v>25</v>
      </c>
      <c r="F1212" t="s">
        <v>651</v>
      </c>
      <c r="J1212" t="s">
        <v>652</v>
      </c>
      <c r="K1212" t="s">
        <v>652</v>
      </c>
    </row>
    <row r="1213" spans="1:11" x14ac:dyDescent="0.5">
      <c r="A1213" t="s">
        <v>2471</v>
      </c>
      <c r="B1213" t="s">
        <v>1051</v>
      </c>
      <c r="C1213" t="s">
        <v>2472</v>
      </c>
      <c r="D1213" s="1">
        <v>1.24E-2</v>
      </c>
      <c r="E1213">
        <v>47.6</v>
      </c>
      <c r="F1213" t="s">
        <v>651</v>
      </c>
      <c r="J1213" t="s">
        <v>652</v>
      </c>
      <c r="K1213" t="s">
        <v>652</v>
      </c>
    </row>
    <row r="1214" spans="1:11" x14ac:dyDescent="0.5">
      <c r="A1214" t="s">
        <v>2473</v>
      </c>
      <c r="B1214" t="s">
        <v>1051</v>
      </c>
      <c r="C1214" t="s">
        <v>2474</v>
      </c>
      <c r="D1214" s="1">
        <v>6.7599999999999993E-2</v>
      </c>
      <c r="E1214">
        <v>24.7</v>
      </c>
      <c r="F1214" t="s">
        <v>651</v>
      </c>
      <c r="J1214" t="s">
        <v>652</v>
      </c>
      <c r="K1214" t="s">
        <v>652</v>
      </c>
    </row>
    <row r="1215" spans="1:11" x14ac:dyDescent="0.5">
      <c r="A1215" t="s">
        <v>2475</v>
      </c>
      <c r="B1215" t="s">
        <v>1051</v>
      </c>
      <c r="C1215" t="s">
        <v>2476</v>
      </c>
      <c r="D1215" s="1">
        <v>6.0699999999999997E-2</v>
      </c>
      <c r="E1215">
        <v>24.7</v>
      </c>
      <c r="F1215" t="s">
        <v>651</v>
      </c>
      <c r="J1215" t="s">
        <v>652</v>
      </c>
      <c r="K1215" t="s">
        <v>652</v>
      </c>
    </row>
    <row r="1216" spans="1:11" x14ac:dyDescent="0.5">
      <c r="A1216" t="s">
        <v>2477</v>
      </c>
      <c r="B1216" t="s">
        <v>1051</v>
      </c>
      <c r="C1216" t="s">
        <v>2478</v>
      </c>
      <c r="D1216" s="1">
        <v>4.36E-2</v>
      </c>
      <c r="E1216">
        <v>19.899999999999999</v>
      </c>
      <c r="F1216" t="s">
        <v>651</v>
      </c>
      <c r="G1216" t="s">
        <v>254</v>
      </c>
      <c r="H1216" t="s">
        <v>506</v>
      </c>
      <c r="I1216">
        <v>6.6</v>
      </c>
      <c r="J1216" t="s">
        <v>652</v>
      </c>
      <c r="K1216" t="s">
        <v>652</v>
      </c>
    </row>
    <row r="1217" spans="1:11" x14ac:dyDescent="0.5">
      <c r="A1217" t="s">
        <v>2479</v>
      </c>
      <c r="B1217" t="s">
        <v>1051</v>
      </c>
      <c r="C1217" t="s">
        <v>2480</v>
      </c>
      <c r="D1217" s="1">
        <v>4.65E-2</v>
      </c>
      <c r="E1217">
        <v>24.6</v>
      </c>
      <c r="F1217" t="s">
        <v>651</v>
      </c>
      <c r="J1217" t="s">
        <v>652</v>
      </c>
      <c r="K1217" t="s">
        <v>652</v>
      </c>
    </row>
    <row r="1218" spans="1:11" x14ac:dyDescent="0.5">
      <c r="A1218" t="s">
        <v>2481</v>
      </c>
      <c r="B1218" t="s">
        <v>1051</v>
      </c>
      <c r="C1218" t="s">
        <v>2482</v>
      </c>
      <c r="D1218" s="1">
        <v>5.4199999999999998E-2</v>
      </c>
      <c r="E1218">
        <v>24.5</v>
      </c>
      <c r="F1218" t="s">
        <v>651</v>
      </c>
      <c r="J1218" t="s">
        <v>652</v>
      </c>
      <c r="K1218" t="s">
        <v>652</v>
      </c>
    </row>
    <row r="1219" spans="1:11" x14ac:dyDescent="0.5">
      <c r="A1219" t="s">
        <v>2483</v>
      </c>
      <c r="B1219" t="s">
        <v>1051</v>
      </c>
      <c r="C1219" t="s">
        <v>2484</v>
      </c>
      <c r="D1219" s="1">
        <v>1.4E-3</v>
      </c>
      <c r="E1219">
        <v>47.3</v>
      </c>
      <c r="F1219" t="s">
        <v>651</v>
      </c>
      <c r="J1219" t="s">
        <v>652</v>
      </c>
      <c r="K1219" t="s">
        <v>652</v>
      </c>
    </row>
    <row r="1220" spans="1:11" x14ac:dyDescent="0.5">
      <c r="A1220" t="s">
        <v>2485</v>
      </c>
      <c r="B1220" t="s">
        <v>1051</v>
      </c>
      <c r="C1220" t="s">
        <v>2486</v>
      </c>
      <c r="D1220" s="1">
        <v>7.1000000000000004E-3</v>
      </c>
      <c r="E1220">
        <v>47.3</v>
      </c>
      <c r="F1220" t="s">
        <v>651</v>
      </c>
      <c r="J1220" t="s">
        <v>652</v>
      </c>
      <c r="K1220" t="s">
        <v>652</v>
      </c>
    </row>
    <row r="1221" spans="1:11" x14ac:dyDescent="0.5">
      <c r="A1221" t="s">
        <v>2487</v>
      </c>
      <c r="B1221" t="s">
        <v>1051</v>
      </c>
      <c r="C1221" t="s">
        <v>2488</v>
      </c>
      <c r="D1221" s="1">
        <v>0.03</v>
      </c>
      <c r="E1221">
        <v>24.4</v>
      </c>
      <c r="F1221" t="s">
        <v>651</v>
      </c>
      <c r="J1221" t="s">
        <v>652</v>
      </c>
      <c r="K1221" t="s">
        <v>652</v>
      </c>
    </row>
    <row r="1222" spans="1:11" x14ac:dyDescent="0.5">
      <c r="A1222" t="s">
        <v>2489</v>
      </c>
      <c r="B1222" t="s">
        <v>1051</v>
      </c>
      <c r="C1222" t="s">
        <v>2490</v>
      </c>
      <c r="D1222" s="1">
        <v>7.1099999999999997E-2</v>
      </c>
      <c r="E1222">
        <v>24.4</v>
      </c>
      <c r="F1222" t="s">
        <v>651</v>
      </c>
      <c r="J1222" t="s">
        <v>652</v>
      </c>
      <c r="K1222" t="s">
        <v>652</v>
      </c>
    </row>
    <row r="1223" spans="1:11" x14ac:dyDescent="0.5">
      <c r="A1223" t="s">
        <v>2491</v>
      </c>
      <c r="B1223" t="s">
        <v>1051</v>
      </c>
      <c r="C1223" t="s">
        <v>2492</v>
      </c>
      <c r="D1223" s="1">
        <v>1.06E-2</v>
      </c>
      <c r="E1223">
        <v>47</v>
      </c>
      <c r="F1223" t="s">
        <v>651</v>
      </c>
      <c r="G1223" t="s">
        <v>506</v>
      </c>
      <c r="H1223" t="s">
        <v>506</v>
      </c>
      <c r="I1223">
        <v>0</v>
      </c>
      <c r="J1223" t="s">
        <v>652</v>
      </c>
      <c r="K1223" t="s">
        <v>652</v>
      </c>
    </row>
    <row r="1224" spans="1:11" x14ac:dyDescent="0.5">
      <c r="A1224" t="s">
        <v>2493</v>
      </c>
      <c r="B1224" t="s">
        <v>1051</v>
      </c>
      <c r="C1224" t="s">
        <v>2494</v>
      </c>
      <c r="D1224" s="1">
        <v>6.0299999999999999E-2</v>
      </c>
      <c r="E1224">
        <v>24.1</v>
      </c>
      <c r="F1224" t="s">
        <v>651</v>
      </c>
      <c r="J1224" t="s">
        <v>652</v>
      </c>
      <c r="K1224" t="s">
        <v>652</v>
      </c>
    </row>
    <row r="1225" spans="1:11" x14ac:dyDescent="0.5">
      <c r="A1225" t="s">
        <v>2495</v>
      </c>
      <c r="B1225" t="s">
        <v>1051</v>
      </c>
      <c r="C1225" t="s">
        <v>2496</v>
      </c>
      <c r="D1225" s="1">
        <v>4.7300000000000002E-2</v>
      </c>
      <c r="E1225">
        <v>24</v>
      </c>
      <c r="F1225" t="s">
        <v>651</v>
      </c>
      <c r="J1225" t="s">
        <v>652</v>
      </c>
      <c r="K1225" t="s">
        <v>652</v>
      </c>
    </row>
    <row r="1226" spans="1:11" x14ac:dyDescent="0.5">
      <c r="A1226" t="s">
        <v>2497</v>
      </c>
      <c r="B1226" t="s">
        <v>1051</v>
      </c>
      <c r="C1226" t="s">
        <v>2498</v>
      </c>
      <c r="D1226" s="1">
        <v>1.3299999999999999E-2</v>
      </c>
      <c r="E1226">
        <v>33.200000000000003</v>
      </c>
      <c r="F1226" t="s">
        <v>651</v>
      </c>
      <c r="G1226" t="s">
        <v>254</v>
      </c>
      <c r="H1226" t="s">
        <v>32</v>
      </c>
      <c r="I1226">
        <v>19.02</v>
      </c>
      <c r="J1226" t="s">
        <v>652</v>
      </c>
      <c r="K1226" t="s">
        <v>652</v>
      </c>
    </row>
    <row r="1227" spans="1:11" x14ac:dyDescent="0.5">
      <c r="A1227" t="s">
        <v>2499</v>
      </c>
      <c r="B1227" t="s">
        <v>1051</v>
      </c>
      <c r="C1227" t="s">
        <v>2500</v>
      </c>
      <c r="D1227" s="1">
        <v>3.7900000000000003E-2</v>
      </c>
      <c r="E1227">
        <v>23.9</v>
      </c>
      <c r="F1227" t="s">
        <v>651</v>
      </c>
      <c r="J1227" t="s">
        <v>652</v>
      </c>
      <c r="K1227" t="s">
        <v>652</v>
      </c>
    </row>
    <row r="1228" spans="1:11" x14ac:dyDescent="0.5">
      <c r="A1228" t="s">
        <v>2501</v>
      </c>
      <c r="B1228" t="s">
        <v>1051</v>
      </c>
      <c r="C1228" t="s">
        <v>2502</v>
      </c>
      <c r="D1228" s="1">
        <v>1.09E-2</v>
      </c>
      <c r="E1228">
        <v>42</v>
      </c>
      <c r="F1228" t="s">
        <v>651</v>
      </c>
      <c r="G1228" t="s">
        <v>254</v>
      </c>
      <c r="H1228" t="s">
        <v>506</v>
      </c>
      <c r="I1228">
        <v>6.6</v>
      </c>
      <c r="J1228" t="s">
        <v>652</v>
      </c>
      <c r="K1228" t="s">
        <v>652</v>
      </c>
    </row>
    <row r="1229" spans="1:11" x14ac:dyDescent="0.5">
      <c r="A1229" t="s">
        <v>2503</v>
      </c>
      <c r="B1229" t="s">
        <v>1051</v>
      </c>
      <c r="C1229" t="s">
        <v>2504</v>
      </c>
      <c r="D1229" s="1">
        <v>3.7999999999999999E-2</v>
      </c>
      <c r="E1229">
        <v>23.6</v>
      </c>
      <c r="F1229" t="s">
        <v>651</v>
      </c>
      <c r="J1229" t="s">
        <v>652</v>
      </c>
      <c r="K1229" t="s">
        <v>652</v>
      </c>
    </row>
    <row r="1230" spans="1:11" x14ac:dyDescent="0.5">
      <c r="A1230" t="s">
        <v>2505</v>
      </c>
      <c r="B1230" t="s">
        <v>1051</v>
      </c>
      <c r="C1230" t="s">
        <v>2506</v>
      </c>
      <c r="D1230" s="1">
        <v>6.3500000000000001E-2</v>
      </c>
      <c r="E1230">
        <v>23.5</v>
      </c>
      <c r="F1230" t="s">
        <v>651</v>
      </c>
      <c r="J1230" t="s">
        <v>652</v>
      </c>
      <c r="K1230" t="s">
        <v>652</v>
      </c>
    </row>
    <row r="1231" spans="1:11" x14ac:dyDescent="0.5">
      <c r="A1231" t="s">
        <v>2507</v>
      </c>
      <c r="B1231" t="s">
        <v>1051</v>
      </c>
      <c r="C1231" t="s">
        <v>2508</v>
      </c>
      <c r="D1231" s="1">
        <v>1.24E-2</v>
      </c>
      <c r="E1231">
        <v>46.3</v>
      </c>
      <c r="F1231" t="s">
        <v>651</v>
      </c>
      <c r="J1231" t="s">
        <v>652</v>
      </c>
      <c r="K1231" t="s">
        <v>652</v>
      </c>
    </row>
    <row r="1232" spans="1:11" x14ac:dyDescent="0.5">
      <c r="A1232" t="s">
        <v>2509</v>
      </c>
      <c r="B1232" t="s">
        <v>1051</v>
      </c>
      <c r="C1232" t="s">
        <v>2510</v>
      </c>
      <c r="D1232" s="1">
        <v>6.4999999999999997E-3</v>
      </c>
      <c r="E1232">
        <v>41.4</v>
      </c>
      <c r="F1232" t="s">
        <v>651</v>
      </c>
      <c r="G1232" t="s">
        <v>254</v>
      </c>
      <c r="H1232" t="s">
        <v>506</v>
      </c>
      <c r="I1232">
        <v>6.6</v>
      </c>
      <c r="J1232" t="s">
        <v>652</v>
      </c>
      <c r="K1232" t="s">
        <v>652</v>
      </c>
    </row>
    <row r="1233" spans="1:11" x14ac:dyDescent="0.5">
      <c r="A1233" t="s">
        <v>2511</v>
      </c>
      <c r="B1233" t="s">
        <v>1051</v>
      </c>
      <c r="C1233" t="s">
        <v>2512</v>
      </c>
      <c r="D1233" s="1">
        <v>3.95E-2</v>
      </c>
      <c r="E1233">
        <v>22.8</v>
      </c>
      <c r="F1233" t="s">
        <v>651</v>
      </c>
      <c r="J1233" t="s">
        <v>652</v>
      </c>
      <c r="K1233" t="s">
        <v>652</v>
      </c>
    </row>
    <row r="1234" spans="1:11" x14ac:dyDescent="0.5">
      <c r="A1234" t="s">
        <v>2513</v>
      </c>
      <c r="B1234" t="s">
        <v>1051</v>
      </c>
      <c r="C1234" t="s">
        <v>2514</v>
      </c>
      <c r="D1234" s="1">
        <v>9.7000000000000003E-3</v>
      </c>
      <c r="E1234">
        <v>45.6</v>
      </c>
      <c r="F1234" t="s">
        <v>651</v>
      </c>
      <c r="J1234" t="s">
        <v>652</v>
      </c>
      <c r="K1234" t="s">
        <v>652</v>
      </c>
    </row>
    <row r="1235" spans="1:11" x14ac:dyDescent="0.5">
      <c r="A1235" t="s">
        <v>2515</v>
      </c>
      <c r="B1235" t="s">
        <v>1051</v>
      </c>
      <c r="C1235" t="s">
        <v>2516</v>
      </c>
      <c r="D1235" s="1">
        <v>1.3599999999999999E-2</v>
      </c>
      <c r="E1235">
        <v>45.3</v>
      </c>
      <c r="F1235" t="s">
        <v>651</v>
      </c>
      <c r="J1235" t="s">
        <v>652</v>
      </c>
      <c r="K1235" t="s">
        <v>652</v>
      </c>
    </row>
    <row r="1236" spans="1:11" x14ac:dyDescent="0.5">
      <c r="A1236" t="s">
        <v>2517</v>
      </c>
      <c r="B1236" t="s">
        <v>1051</v>
      </c>
      <c r="C1236" t="s">
        <v>2518</v>
      </c>
      <c r="D1236" s="1">
        <v>3.0999999999999999E-3</v>
      </c>
      <c r="E1236">
        <v>44.9</v>
      </c>
      <c r="F1236" t="s">
        <v>651</v>
      </c>
      <c r="J1236" t="s">
        <v>652</v>
      </c>
      <c r="K1236" t="s">
        <v>652</v>
      </c>
    </row>
    <row r="1237" spans="1:11" x14ac:dyDescent="0.5">
      <c r="A1237" t="s">
        <v>2519</v>
      </c>
      <c r="B1237" t="s">
        <v>1051</v>
      </c>
      <c r="C1237" t="s">
        <v>2520</v>
      </c>
      <c r="D1237" s="1">
        <v>1.34E-2</v>
      </c>
      <c r="E1237">
        <v>44.8</v>
      </c>
      <c r="F1237" t="s">
        <v>651</v>
      </c>
      <c r="J1237" t="s">
        <v>652</v>
      </c>
      <c r="K1237" t="s">
        <v>652</v>
      </c>
    </row>
    <row r="1238" spans="1:11" x14ac:dyDescent="0.5">
      <c r="A1238" t="s">
        <v>2521</v>
      </c>
      <c r="B1238" t="s">
        <v>1051</v>
      </c>
      <c r="C1238" t="s">
        <v>2522</v>
      </c>
      <c r="D1238" s="1">
        <v>9.9000000000000008E-3</v>
      </c>
      <c r="E1238">
        <v>30.6</v>
      </c>
      <c r="F1238" t="s">
        <v>651</v>
      </c>
      <c r="G1238" t="s">
        <v>506</v>
      </c>
      <c r="H1238" t="s">
        <v>254</v>
      </c>
      <c r="I1238">
        <v>19.8</v>
      </c>
      <c r="J1238" t="s">
        <v>652</v>
      </c>
      <c r="K1238" t="s">
        <v>652</v>
      </c>
    </row>
    <row r="1239" spans="1:11" x14ac:dyDescent="0.5">
      <c r="A1239" t="s">
        <v>2523</v>
      </c>
      <c r="B1239" t="s">
        <v>1051</v>
      </c>
      <c r="C1239" t="s">
        <v>2524</v>
      </c>
      <c r="D1239" s="1">
        <v>1.14E-2</v>
      </c>
      <c r="E1239">
        <v>44.6</v>
      </c>
      <c r="F1239" t="s">
        <v>651</v>
      </c>
      <c r="J1239" t="s">
        <v>652</v>
      </c>
      <c r="K1239" t="s">
        <v>652</v>
      </c>
    </row>
    <row r="1240" spans="1:11" x14ac:dyDescent="0.5">
      <c r="A1240" t="s">
        <v>2525</v>
      </c>
      <c r="B1240" t="s">
        <v>1051</v>
      </c>
      <c r="C1240" t="s">
        <v>2526</v>
      </c>
      <c r="D1240" s="1">
        <v>1.09E-2</v>
      </c>
      <c r="E1240">
        <v>44.5</v>
      </c>
      <c r="F1240" t="s">
        <v>651</v>
      </c>
      <c r="J1240" t="s">
        <v>652</v>
      </c>
      <c r="K1240" t="s">
        <v>652</v>
      </c>
    </row>
    <row r="1241" spans="1:11" x14ac:dyDescent="0.5">
      <c r="A1241" t="s">
        <v>2527</v>
      </c>
      <c r="B1241" t="s">
        <v>1051</v>
      </c>
      <c r="C1241" t="s">
        <v>2528</v>
      </c>
      <c r="D1241" s="1">
        <v>1.04E-2</v>
      </c>
      <c r="E1241">
        <v>44.4</v>
      </c>
      <c r="F1241" t="s">
        <v>651</v>
      </c>
      <c r="J1241" t="s">
        <v>652</v>
      </c>
      <c r="K1241" t="s">
        <v>652</v>
      </c>
    </row>
    <row r="1242" spans="1:11" x14ac:dyDescent="0.5">
      <c r="A1242" t="s">
        <v>2529</v>
      </c>
      <c r="B1242" t="s">
        <v>1051</v>
      </c>
      <c r="C1242" t="s">
        <v>2530</v>
      </c>
      <c r="D1242" s="1">
        <v>6.8999999999999999E-3</v>
      </c>
      <c r="E1242">
        <v>42.3</v>
      </c>
      <c r="F1242" t="s">
        <v>651</v>
      </c>
      <c r="G1242" t="s">
        <v>506</v>
      </c>
      <c r="H1242" t="s">
        <v>506</v>
      </c>
      <c r="I1242">
        <v>2.67</v>
      </c>
      <c r="J1242" t="s">
        <v>652</v>
      </c>
      <c r="K1242" t="s">
        <v>652</v>
      </c>
    </row>
    <row r="1243" spans="1:11" x14ac:dyDescent="0.5">
      <c r="A1243" t="s">
        <v>2531</v>
      </c>
      <c r="B1243" t="s">
        <v>1051</v>
      </c>
      <c r="C1243" t="s">
        <v>2532</v>
      </c>
      <c r="D1243" s="1">
        <v>1.01E-2</v>
      </c>
      <c r="E1243">
        <v>44.2</v>
      </c>
      <c r="F1243" t="s">
        <v>651</v>
      </c>
      <c r="J1243" t="s">
        <v>652</v>
      </c>
      <c r="K1243" t="s">
        <v>652</v>
      </c>
    </row>
    <row r="1244" spans="1:11" x14ac:dyDescent="0.5">
      <c r="A1244" t="s">
        <v>2533</v>
      </c>
      <c r="B1244" t="s">
        <v>1051</v>
      </c>
      <c r="C1244" t="s">
        <v>2534</v>
      </c>
      <c r="D1244" s="1">
        <v>1.5599999999999999E-2</v>
      </c>
      <c r="E1244">
        <v>44</v>
      </c>
      <c r="F1244" t="s">
        <v>651</v>
      </c>
      <c r="J1244" t="s">
        <v>652</v>
      </c>
      <c r="K1244" t="s">
        <v>652</v>
      </c>
    </row>
    <row r="1245" spans="1:11" x14ac:dyDescent="0.5">
      <c r="A1245" t="s">
        <v>2535</v>
      </c>
      <c r="B1245" t="s">
        <v>1051</v>
      </c>
      <c r="C1245" t="s">
        <v>2536</v>
      </c>
      <c r="D1245" s="1">
        <v>6.4199999999999993E-2</v>
      </c>
      <c r="E1245">
        <v>21.1</v>
      </c>
      <c r="F1245" t="s">
        <v>651</v>
      </c>
      <c r="J1245" t="s">
        <v>652</v>
      </c>
      <c r="K1245" t="s">
        <v>652</v>
      </c>
    </row>
    <row r="1246" spans="1:11" x14ac:dyDescent="0.5">
      <c r="A1246" t="s">
        <v>2537</v>
      </c>
      <c r="B1246" t="s">
        <v>1051</v>
      </c>
      <c r="C1246" t="s">
        <v>2538</v>
      </c>
      <c r="D1246" s="1">
        <v>9.4000000000000004E-3</v>
      </c>
      <c r="E1246">
        <v>27</v>
      </c>
      <c r="F1246" t="s">
        <v>651</v>
      </c>
      <c r="G1246" t="s">
        <v>254</v>
      </c>
      <c r="H1246" t="s">
        <v>506</v>
      </c>
      <c r="I1246">
        <v>23.54</v>
      </c>
      <c r="J1246" t="s">
        <v>652</v>
      </c>
      <c r="K1246" t="s">
        <v>652</v>
      </c>
    </row>
    <row r="1247" spans="1:11" x14ac:dyDescent="0.5">
      <c r="A1247" t="s">
        <v>2539</v>
      </c>
      <c r="B1247" t="s">
        <v>1051</v>
      </c>
      <c r="C1247" t="s">
        <v>2540</v>
      </c>
      <c r="D1247" s="1">
        <v>1.4500000000000001E-2</v>
      </c>
      <c r="E1247">
        <v>36.200000000000003</v>
      </c>
      <c r="F1247" t="s">
        <v>651</v>
      </c>
      <c r="G1247" t="s">
        <v>254</v>
      </c>
      <c r="H1247" t="s">
        <v>506</v>
      </c>
      <c r="I1247">
        <v>10.47</v>
      </c>
      <c r="J1247" t="s">
        <v>652</v>
      </c>
      <c r="K1247" t="s">
        <v>652</v>
      </c>
    </row>
    <row r="1248" spans="1:11" x14ac:dyDescent="0.5">
      <c r="A1248" t="s">
        <v>2541</v>
      </c>
      <c r="B1248" t="s">
        <v>1051</v>
      </c>
      <c r="C1248" t="s">
        <v>2542</v>
      </c>
      <c r="D1248" s="1">
        <v>2.1700000000000001E-2</v>
      </c>
      <c r="E1248">
        <v>20.8</v>
      </c>
      <c r="F1248" t="s">
        <v>651</v>
      </c>
      <c r="G1248" t="s">
        <v>506</v>
      </c>
      <c r="H1248" t="s">
        <v>506</v>
      </c>
      <c r="I1248">
        <v>0</v>
      </c>
      <c r="J1248" t="s">
        <v>652</v>
      </c>
      <c r="K1248" t="s">
        <v>652</v>
      </c>
    </row>
    <row r="1249" spans="1:11" x14ac:dyDescent="0.5">
      <c r="A1249" t="s">
        <v>2543</v>
      </c>
      <c r="B1249" t="s">
        <v>1051</v>
      </c>
      <c r="C1249" t="s">
        <v>2544</v>
      </c>
      <c r="D1249" s="1">
        <v>9.4999999999999998E-3</v>
      </c>
      <c r="E1249">
        <v>43.6</v>
      </c>
      <c r="F1249" t="s">
        <v>651</v>
      </c>
      <c r="J1249" t="s">
        <v>652</v>
      </c>
      <c r="K1249" t="s">
        <v>652</v>
      </c>
    </row>
    <row r="1250" spans="1:11" x14ac:dyDescent="0.5">
      <c r="A1250" t="s">
        <v>2545</v>
      </c>
      <c r="B1250" t="s">
        <v>1051</v>
      </c>
      <c r="C1250" t="s">
        <v>2546</v>
      </c>
      <c r="D1250" s="1">
        <v>1.3899999999999999E-2</v>
      </c>
      <c r="E1250">
        <v>43.6</v>
      </c>
      <c r="F1250" t="s">
        <v>651</v>
      </c>
      <c r="J1250" t="s">
        <v>652</v>
      </c>
      <c r="K1250" t="s">
        <v>652</v>
      </c>
    </row>
    <row r="1251" spans="1:11" x14ac:dyDescent="0.5">
      <c r="A1251" t="s">
        <v>2547</v>
      </c>
      <c r="B1251" t="s">
        <v>1051</v>
      </c>
      <c r="C1251" t="s">
        <v>2548</v>
      </c>
      <c r="D1251" s="1">
        <v>5.1299999999999998E-2</v>
      </c>
      <c r="E1251">
        <v>20.7</v>
      </c>
      <c r="F1251" t="s">
        <v>651</v>
      </c>
      <c r="J1251" t="s">
        <v>652</v>
      </c>
      <c r="K1251" t="s">
        <v>652</v>
      </c>
    </row>
    <row r="1252" spans="1:11" x14ac:dyDescent="0.5">
      <c r="A1252" t="s">
        <v>2549</v>
      </c>
      <c r="B1252" t="s">
        <v>1051</v>
      </c>
      <c r="C1252" t="s">
        <v>2550</v>
      </c>
      <c r="D1252" s="1">
        <v>1.3599999999999999E-2</v>
      </c>
      <c r="E1252">
        <v>43.5</v>
      </c>
      <c r="F1252" t="s">
        <v>651</v>
      </c>
      <c r="J1252" t="s">
        <v>652</v>
      </c>
      <c r="K1252" t="s">
        <v>652</v>
      </c>
    </row>
    <row r="1253" spans="1:11" x14ac:dyDescent="0.5">
      <c r="A1253" t="s">
        <v>2551</v>
      </c>
      <c r="B1253" t="s">
        <v>1051</v>
      </c>
      <c r="C1253" t="s">
        <v>2552</v>
      </c>
      <c r="D1253" s="1">
        <v>1.7399999999999999E-2</v>
      </c>
      <c r="E1253">
        <v>43.5</v>
      </c>
      <c r="F1253" t="s">
        <v>651</v>
      </c>
      <c r="G1253" t="s">
        <v>506</v>
      </c>
      <c r="H1253" t="s">
        <v>506</v>
      </c>
      <c r="I1253">
        <v>0</v>
      </c>
      <c r="J1253" t="s">
        <v>652</v>
      </c>
      <c r="K1253" t="s">
        <v>652</v>
      </c>
    </row>
    <row r="1254" spans="1:11" x14ac:dyDescent="0.5">
      <c r="A1254" t="s">
        <v>2553</v>
      </c>
      <c r="B1254" t="s">
        <v>1051</v>
      </c>
      <c r="C1254" t="s">
        <v>2554</v>
      </c>
      <c r="D1254" s="1">
        <v>7.4000000000000003E-3</v>
      </c>
      <c r="E1254">
        <v>43.4</v>
      </c>
      <c r="F1254" t="s">
        <v>651</v>
      </c>
      <c r="G1254" t="s">
        <v>506</v>
      </c>
      <c r="H1254" t="s">
        <v>506</v>
      </c>
      <c r="I1254">
        <v>0</v>
      </c>
      <c r="J1254" t="s">
        <v>652</v>
      </c>
      <c r="K1254" t="s">
        <v>652</v>
      </c>
    </row>
    <row r="1255" spans="1:11" x14ac:dyDescent="0.5">
      <c r="A1255" t="s">
        <v>2555</v>
      </c>
      <c r="B1255" t="s">
        <v>1051</v>
      </c>
      <c r="C1255" t="s">
        <v>2556</v>
      </c>
      <c r="D1255" s="1">
        <v>6.4999999999999997E-3</v>
      </c>
      <c r="E1255">
        <v>41.9</v>
      </c>
      <c r="F1255" t="s">
        <v>651</v>
      </c>
      <c r="G1255" t="s">
        <v>506</v>
      </c>
      <c r="H1255" t="s">
        <v>506</v>
      </c>
      <c r="I1255">
        <v>1.88</v>
      </c>
      <c r="J1255" t="s">
        <v>652</v>
      </c>
      <c r="K1255" t="s">
        <v>652</v>
      </c>
    </row>
    <row r="1256" spans="1:11" x14ac:dyDescent="0.5">
      <c r="A1256" t="s">
        <v>2557</v>
      </c>
      <c r="B1256" t="s">
        <v>1051</v>
      </c>
      <c r="C1256" t="s">
        <v>2558</v>
      </c>
      <c r="D1256" s="1">
        <v>1.06E-2</v>
      </c>
      <c r="E1256">
        <v>42.2</v>
      </c>
      <c r="F1256" t="s">
        <v>651</v>
      </c>
      <c r="G1256" t="s">
        <v>506</v>
      </c>
      <c r="H1256" t="s">
        <v>506</v>
      </c>
      <c r="I1256">
        <v>1.45</v>
      </c>
      <c r="J1256" t="s">
        <v>652</v>
      </c>
      <c r="K1256" t="s">
        <v>652</v>
      </c>
    </row>
    <row r="1257" spans="1:11" x14ac:dyDescent="0.5">
      <c r="A1257" t="s">
        <v>2559</v>
      </c>
      <c r="B1257" t="s">
        <v>1051</v>
      </c>
      <c r="C1257" t="s">
        <v>2560</v>
      </c>
      <c r="D1257" s="1">
        <v>1.7500000000000002E-2</v>
      </c>
      <c r="E1257">
        <v>43.2</v>
      </c>
      <c r="F1257" t="s">
        <v>651</v>
      </c>
      <c r="J1257" t="s">
        <v>652</v>
      </c>
      <c r="K1257" t="s">
        <v>652</v>
      </c>
    </row>
    <row r="1258" spans="1:11" x14ac:dyDescent="0.5">
      <c r="A1258" t="s">
        <v>2561</v>
      </c>
      <c r="B1258" t="s">
        <v>1051</v>
      </c>
      <c r="C1258" t="s">
        <v>2562</v>
      </c>
      <c r="D1258" s="1">
        <v>1.49E-2</v>
      </c>
      <c r="E1258">
        <v>43.2</v>
      </c>
      <c r="F1258" t="s">
        <v>651</v>
      </c>
      <c r="J1258" t="s">
        <v>652</v>
      </c>
      <c r="K1258" t="s">
        <v>652</v>
      </c>
    </row>
    <row r="1259" spans="1:11" x14ac:dyDescent="0.5">
      <c r="A1259" t="s">
        <v>2563</v>
      </c>
      <c r="B1259" t="s">
        <v>1051</v>
      </c>
      <c r="C1259" t="s">
        <v>2564</v>
      </c>
      <c r="D1259" s="1">
        <v>1.77E-2</v>
      </c>
      <c r="E1259">
        <v>43.1</v>
      </c>
      <c r="F1259" t="s">
        <v>651</v>
      </c>
      <c r="J1259" t="s">
        <v>652</v>
      </c>
      <c r="K1259" t="s">
        <v>652</v>
      </c>
    </row>
    <row r="1260" spans="1:11" x14ac:dyDescent="0.5">
      <c r="A1260" t="s">
        <v>2565</v>
      </c>
      <c r="B1260" t="s">
        <v>1051</v>
      </c>
      <c r="C1260" t="s">
        <v>2566</v>
      </c>
      <c r="D1260" s="1">
        <v>0.11310000000000001</v>
      </c>
      <c r="E1260">
        <v>20.100000000000001</v>
      </c>
      <c r="F1260" t="s">
        <v>651</v>
      </c>
      <c r="J1260" t="s">
        <v>652</v>
      </c>
      <c r="K1260" t="s">
        <v>652</v>
      </c>
    </row>
    <row r="1261" spans="1:11" x14ac:dyDescent="0.5">
      <c r="A1261" t="s">
        <v>2567</v>
      </c>
      <c r="B1261" t="s">
        <v>1051</v>
      </c>
      <c r="C1261" t="s">
        <v>2568</v>
      </c>
      <c r="D1261" s="1">
        <v>1.14E-2</v>
      </c>
      <c r="E1261">
        <v>42.9</v>
      </c>
      <c r="F1261" t="s">
        <v>651</v>
      </c>
      <c r="J1261" t="s">
        <v>652</v>
      </c>
      <c r="K1261" t="s">
        <v>652</v>
      </c>
    </row>
    <row r="1262" spans="1:11" x14ac:dyDescent="0.5">
      <c r="A1262" t="s">
        <v>2569</v>
      </c>
      <c r="B1262" t="s">
        <v>1051</v>
      </c>
      <c r="C1262" t="s">
        <v>2570</v>
      </c>
      <c r="D1262" s="1">
        <v>8.3000000000000001E-3</v>
      </c>
      <c r="E1262">
        <v>42.9</v>
      </c>
      <c r="F1262" t="s">
        <v>651</v>
      </c>
      <c r="J1262" t="s">
        <v>652</v>
      </c>
      <c r="K1262" t="s">
        <v>652</v>
      </c>
    </row>
    <row r="1263" spans="1:11" x14ac:dyDescent="0.5">
      <c r="A1263" t="s">
        <v>2571</v>
      </c>
      <c r="B1263" t="s">
        <v>1051</v>
      </c>
      <c r="C1263" t="s">
        <v>2572</v>
      </c>
      <c r="D1263" s="1">
        <v>1.5900000000000001E-2</v>
      </c>
      <c r="E1263">
        <v>42.8</v>
      </c>
      <c r="F1263" t="s">
        <v>651</v>
      </c>
      <c r="J1263" t="s">
        <v>652</v>
      </c>
      <c r="K1263" t="s">
        <v>652</v>
      </c>
    </row>
    <row r="1264" spans="1:11" x14ac:dyDescent="0.5">
      <c r="A1264" t="s">
        <v>2573</v>
      </c>
      <c r="B1264" t="s">
        <v>1051</v>
      </c>
      <c r="C1264" t="s">
        <v>2574</v>
      </c>
      <c r="D1264" s="1">
        <v>1.5599999999999999E-2</v>
      </c>
      <c r="E1264">
        <v>42.8</v>
      </c>
      <c r="F1264" t="s">
        <v>651</v>
      </c>
      <c r="J1264" t="s">
        <v>652</v>
      </c>
      <c r="K1264" t="s">
        <v>652</v>
      </c>
    </row>
    <row r="1265" spans="1:11" x14ac:dyDescent="0.5">
      <c r="A1265" t="s">
        <v>2575</v>
      </c>
      <c r="B1265" t="s">
        <v>1051</v>
      </c>
      <c r="C1265" t="s">
        <v>2576</v>
      </c>
      <c r="D1265" s="1">
        <v>1.01E-2</v>
      </c>
      <c r="E1265">
        <v>42.5</v>
      </c>
      <c r="F1265" t="s">
        <v>651</v>
      </c>
      <c r="J1265" t="s">
        <v>652</v>
      </c>
      <c r="K1265" t="s">
        <v>652</v>
      </c>
    </row>
    <row r="1266" spans="1:11" x14ac:dyDescent="0.5">
      <c r="A1266" t="s">
        <v>2577</v>
      </c>
      <c r="B1266" t="s">
        <v>1051</v>
      </c>
      <c r="C1266" t="s">
        <v>2578</v>
      </c>
      <c r="D1266" s="1">
        <v>9.4000000000000004E-3</v>
      </c>
      <c r="E1266">
        <v>37.700000000000003</v>
      </c>
      <c r="F1266" t="s">
        <v>651</v>
      </c>
      <c r="G1266" t="s">
        <v>254</v>
      </c>
      <c r="H1266" t="s">
        <v>506</v>
      </c>
      <c r="I1266">
        <v>6.6</v>
      </c>
      <c r="J1266" t="s">
        <v>652</v>
      </c>
      <c r="K1266" t="s">
        <v>652</v>
      </c>
    </row>
    <row r="1267" spans="1:11" x14ac:dyDescent="0.5">
      <c r="A1267" t="s">
        <v>2579</v>
      </c>
      <c r="B1267" t="s">
        <v>1051</v>
      </c>
      <c r="C1267" t="s">
        <v>2580</v>
      </c>
      <c r="D1267" s="1">
        <v>1.4800000000000001E-2</v>
      </c>
      <c r="E1267">
        <v>42.4</v>
      </c>
      <c r="F1267" t="s">
        <v>651</v>
      </c>
      <c r="J1267" t="s">
        <v>652</v>
      </c>
      <c r="K1267" t="s">
        <v>652</v>
      </c>
    </row>
    <row r="1268" spans="1:11" x14ac:dyDescent="0.5">
      <c r="A1268" t="s">
        <v>2581</v>
      </c>
      <c r="B1268" t="s">
        <v>1051</v>
      </c>
      <c r="C1268" t="s">
        <v>2582</v>
      </c>
      <c r="D1268" s="1">
        <v>8.3000000000000001E-3</v>
      </c>
      <c r="E1268">
        <v>42.4</v>
      </c>
      <c r="F1268" t="s">
        <v>651</v>
      </c>
      <c r="J1268" t="s">
        <v>652</v>
      </c>
      <c r="K1268" t="s">
        <v>652</v>
      </c>
    </row>
    <row r="1269" spans="1:11" x14ac:dyDescent="0.5">
      <c r="A1269" t="s">
        <v>2583</v>
      </c>
      <c r="B1269" t="s">
        <v>1051</v>
      </c>
      <c r="C1269" t="s">
        <v>2584</v>
      </c>
      <c r="D1269" s="1">
        <v>9.2999999999999992E-3</v>
      </c>
      <c r="E1269">
        <v>42.4</v>
      </c>
      <c r="F1269" t="s">
        <v>651</v>
      </c>
      <c r="J1269" t="s">
        <v>652</v>
      </c>
      <c r="K1269" t="s">
        <v>652</v>
      </c>
    </row>
    <row r="1270" spans="1:11" x14ac:dyDescent="0.5">
      <c r="A1270" t="s">
        <v>2585</v>
      </c>
      <c r="B1270" t="s">
        <v>1051</v>
      </c>
      <c r="C1270" t="s">
        <v>2586</v>
      </c>
      <c r="D1270" s="1">
        <v>1.0200000000000001E-2</v>
      </c>
      <c r="E1270">
        <v>42.3</v>
      </c>
      <c r="F1270" t="s">
        <v>651</v>
      </c>
      <c r="J1270" t="s">
        <v>652</v>
      </c>
      <c r="K1270" t="s">
        <v>652</v>
      </c>
    </row>
    <row r="1271" spans="1:11" x14ac:dyDescent="0.5">
      <c r="A1271" t="s">
        <v>2587</v>
      </c>
      <c r="B1271" t="s">
        <v>1051</v>
      </c>
      <c r="C1271" t="s">
        <v>2588</v>
      </c>
      <c r="D1271" s="1">
        <v>1.18E-2</v>
      </c>
      <c r="E1271">
        <v>42.2</v>
      </c>
      <c r="F1271" t="s">
        <v>651</v>
      </c>
      <c r="J1271" t="s">
        <v>652</v>
      </c>
      <c r="K1271" t="s">
        <v>652</v>
      </c>
    </row>
    <row r="1272" spans="1:11" x14ac:dyDescent="0.5">
      <c r="A1272" t="s">
        <v>2589</v>
      </c>
      <c r="B1272" t="s">
        <v>1051</v>
      </c>
      <c r="C1272" t="s">
        <v>2590</v>
      </c>
      <c r="D1272" s="1">
        <v>1.03E-2</v>
      </c>
      <c r="E1272">
        <v>41.8</v>
      </c>
      <c r="F1272" t="s">
        <v>651</v>
      </c>
      <c r="J1272" t="s">
        <v>652</v>
      </c>
      <c r="K1272" t="s">
        <v>652</v>
      </c>
    </row>
    <row r="1273" spans="1:11" x14ac:dyDescent="0.5">
      <c r="A1273" t="s">
        <v>2591</v>
      </c>
      <c r="B1273" t="s">
        <v>1051</v>
      </c>
      <c r="C1273" t="s">
        <v>2592</v>
      </c>
      <c r="D1273" s="1">
        <v>5.0000000000000001E-3</v>
      </c>
      <c r="E1273">
        <v>32</v>
      </c>
      <c r="F1273" t="s">
        <v>651</v>
      </c>
      <c r="G1273" t="s">
        <v>506</v>
      </c>
      <c r="H1273" t="s">
        <v>32</v>
      </c>
      <c r="I1273">
        <v>13.2</v>
      </c>
      <c r="J1273" t="s">
        <v>652</v>
      </c>
      <c r="K1273" t="s">
        <v>652</v>
      </c>
    </row>
    <row r="1274" spans="1:11" x14ac:dyDescent="0.5">
      <c r="A1274" t="s">
        <v>2593</v>
      </c>
      <c r="B1274" t="s">
        <v>1051</v>
      </c>
      <c r="C1274" t="s">
        <v>2594</v>
      </c>
      <c r="D1274" s="1">
        <v>0.01</v>
      </c>
      <c r="E1274">
        <v>41.4</v>
      </c>
      <c r="F1274" t="s">
        <v>651</v>
      </c>
      <c r="J1274" t="s">
        <v>652</v>
      </c>
      <c r="K1274" t="s">
        <v>652</v>
      </c>
    </row>
    <row r="1275" spans="1:11" x14ac:dyDescent="0.5">
      <c r="A1275" t="s">
        <v>2595</v>
      </c>
      <c r="B1275" t="s">
        <v>1051</v>
      </c>
      <c r="C1275" t="s">
        <v>2596</v>
      </c>
      <c r="D1275" s="1">
        <v>1.8200000000000001E-2</v>
      </c>
      <c r="E1275">
        <v>41.3</v>
      </c>
      <c r="F1275" t="s">
        <v>651</v>
      </c>
      <c r="J1275" t="s">
        <v>652</v>
      </c>
      <c r="K1275" t="s">
        <v>652</v>
      </c>
    </row>
    <row r="1276" spans="1:11" x14ac:dyDescent="0.5">
      <c r="A1276" t="s">
        <v>2597</v>
      </c>
      <c r="B1276" t="s">
        <v>1051</v>
      </c>
      <c r="C1276" t="s">
        <v>2598</v>
      </c>
      <c r="D1276" s="1">
        <v>1.5699999999999999E-2</v>
      </c>
      <c r="E1276">
        <v>41.1</v>
      </c>
      <c r="F1276" t="s">
        <v>651</v>
      </c>
      <c r="J1276" t="s">
        <v>652</v>
      </c>
      <c r="K1276" t="s">
        <v>652</v>
      </c>
    </row>
    <row r="1277" spans="1:11" x14ac:dyDescent="0.5">
      <c r="A1277" t="s">
        <v>2599</v>
      </c>
      <c r="B1277" t="s">
        <v>1051</v>
      </c>
      <c r="C1277" t="s">
        <v>2600</v>
      </c>
      <c r="D1277" s="1">
        <v>2E-3</v>
      </c>
      <c r="E1277">
        <v>41</v>
      </c>
      <c r="F1277" t="s">
        <v>651</v>
      </c>
      <c r="J1277" t="s">
        <v>652</v>
      </c>
      <c r="K1277" t="s">
        <v>652</v>
      </c>
    </row>
    <row r="1278" spans="1:11" x14ac:dyDescent="0.5">
      <c r="A1278" t="s">
        <v>2601</v>
      </c>
      <c r="B1278" t="s">
        <v>1051</v>
      </c>
      <c r="C1278" t="s">
        <v>2602</v>
      </c>
      <c r="D1278" s="1">
        <v>2.2000000000000001E-3</v>
      </c>
      <c r="E1278">
        <v>30.2</v>
      </c>
      <c r="F1278" t="s">
        <v>651</v>
      </c>
      <c r="G1278" t="s">
        <v>506</v>
      </c>
      <c r="H1278" t="s">
        <v>32</v>
      </c>
      <c r="I1278">
        <v>14.9</v>
      </c>
      <c r="J1278" t="s">
        <v>652</v>
      </c>
      <c r="K1278" t="s">
        <v>652</v>
      </c>
    </row>
    <row r="1279" spans="1:11" x14ac:dyDescent="0.5">
      <c r="A1279" t="s">
        <v>2603</v>
      </c>
      <c r="B1279" t="s">
        <v>1051</v>
      </c>
      <c r="C1279" t="s">
        <v>2604</v>
      </c>
      <c r="D1279" s="1">
        <v>1.01E-2</v>
      </c>
      <c r="E1279">
        <v>40.799999999999997</v>
      </c>
      <c r="F1279" t="s">
        <v>651</v>
      </c>
      <c r="J1279" t="s">
        <v>652</v>
      </c>
      <c r="K1279" t="s">
        <v>652</v>
      </c>
    </row>
    <row r="1280" spans="1:11" x14ac:dyDescent="0.5">
      <c r="A1280" t="s">
        <v>2605</v>
      </c>
      <c r="B1280" t="s">
        <v>1051</v>
      </c>
      <c r="C1280" t="s">
        <v>2606</v>
      </c>
      <c r="D1280" s="1">
        <v>5.1000000000000004E-3</v>
      </c>
      <c r="E1280">
        <v>40.700000000000003</v>
      </c>
      <c r="F1280" t="s">
        <v>651</v>
      </c>
      <c r="J1280" t="s">
        <v>652</v>
      </c>
      <c r="K1280" t="s">
        <v>652</v>
      </c>
    </row>
    <row r="1281" spans="1:11" x14ac:dyDescent="0.5">
      <c r="A1281" t="s">
        <v>2607</v>
      </c>
      <c r="B1281" t="s">
        <v>1051</v>
      </c>
      <c r="C1281" t="s">
        <v>2608</v>
      </c>
      <c r="D1281" s="1">
        <v>1.83E-2</v>
      </c>
      <c r="E1281">
        <v>31.4</v>
      </c>
      <c r="F1281" t="s">
        <v>651</v>
      </c>
      <c r="G1281" t="s">
        <v>506</v>
      </c>
      <c r="H1281" t="s">
        <v>506</v>
      </c>
      <c r="I1281">
        <v>12.95</v>
      </c>
      <c r="J1281" t="s">
        <v>652</v>
      </c>
      <c r="K1281" t="s">
        <v>652</v>
      </c>
    </row>
    <row r="1282" spans="1:11" x14ac:dyDescent="0.5">
      <c r="A1282" t="s">
        <v>2609</v>
      </c>
      <c r="B1282" t="s">
        <v>1051</v>
      </c>
      <c r="C1282" t="s">
        <v>2610</v>
      </c>
      <c r="D1282" s="1">
        <v>1.55E-2</v>
      </c>
      <c r="E1282">
        <v>40.6</v>
      </c>
      <c r="F1282" t="s">
        <v>651</v>
      </c>
      <c r="J1282" t="s">
        <v>652</v>
      </c>
      <c r="K1282" t="s">
        <v>652</v>
      </c>
    </row>
    <row r="1283" spans="1:11" x14ac:dyDescent="0.5">
      <c r="A1283" t="s">
        <v>2611</v>
      </c>
      <c r="B1283" t="s">
        <v>1051</v>
      </c>
      <c r="C1283" t="s">
        <v>2612</v>
      </c>
      <c r="D1283" s="1">
        <v>1.6899999999999998E-2</v>
      </c>
      <c r="E1283">
        <v>28.9</v>
      </c>
      <c r="F1283" t="s">
        <v>651</v>
      </c>
      <c r="G1283" t="s">
        <v>506</v>
      </c>
      <c r="H1283" t="s">
        <v>32</v>
      </c>
      <c r="I1283">
        <v>16.23</v>
      </c>
      <c r="J1283" t="s">
        <v>652</v>
      </c>
      <c r="K1283" t="s">
        <v>652</v>
      </c>
    </row>
    <row r="1284" spans="1:11" x14ac:dyDescent="0.5">
      <c r="A1284" t="s">
        <v>2613</v>
      </c>
      <c r="B1284" t="s">
        <v>1051</v>
      </c>
      <c r="C1284" t="s">
        <v>2614</v>
      </c>
      <c r="D1284" s="1">
        <v>1.7399999999999999E-2</v>
      </c>
      <c r="E1284">
        <v>40.4</v>
      </c>
      <c r="F1284" t="s">
        <v>651</v>
      </c>
      <c r="J1284" t="s">
        <v>652</v>
      </c>
      <c r="K1284" t="s">
        <v>652</v>
      </c>
    </row>
    <row r="1285" spans="1:11" x14ac:dyDescent="0.5">
      <c r="A1285" t="s">
        <v>2615</v>
      </c>
      <c r="B1285" t="s">
        <v>1051</v>
      </c>
      <c r="C1285" t="s">
        <v>2616</v>
      </c>
      <c r="D1285" s="1">
        <v>0.01</v>
      </c>
      <c r="E1285">
        <v>40.4</v>
      </c>
      <c r="F1285" t="s">
        <v>651</v>
      </c>
      <c r="J1285" t="s">
        <v>652</v>
      </c>
      <c r="K1285" t="s">
        <v>652</v>
      </c>
    </row>
    <row r="1286" spans="1:11" x14ac:dyDescent="0.5">
      <c r="A1286" t="s">
        <v>2617</v>
      </c>
      <c r="B1286" t="s">
        <v>1051</v>
      </c>
      <c r="C1286" t="s">
        <v>2618</v>
      </c>
      <c r="D1286" s="1">
        <v>1.0800000000000001E-2</v>
      </c>
      <c r="E1286">
        <v>40.299999999999997</v>
      </c>
      <c r="F1286" t="s">
        <v>651</v>
      </c>
      <c r="J1286" t="s">
        <v>652</v>
      </c>
      <c r="K1286" t="s">
        <v>652</v>
      </c>
    </row>
    <row r="1287" spans="1:11" x14ac:dyDescent="0.5">
      <c r="A1287" t="s">
        <v>2619</v>
      </c>
      <c r="B1287" t="s">
        <v>1051</v>
      </c>
      <c r="C1287" t="s">
        <v>2620</v>
      </c>
      <c r="D1287" s="1">
        <v>8.6E-3</v>
      </c>
      <c r="E1287">
        <v>40</v>
      </c>
      <c r="F1287" t="s">
        <v>651</v>
      </c>
      <c r="J1287" t="s">
        <v>652</v>
      </c>
      <c r="K1287" t="s">
        <v>652</v>
      </c>
    </row>
    <row r="1288" spans="1:11" x14ac:dyDescent="0.5">
      <c r="A1288" t="s">
        <v>2621</v>
      </c>
      <c r="B1288" t="s">
        <v>1051</v>
      </c>
      <c r="C1288" t="s">
        <v>2622</v>
      </c>
      <c r="D1288" s="1">
        <v>1.9699999999999999E-2</v>
      </c>
      <c r="E1288">
        <v>40</v>
      </c>
      <c r="F1288" t="s">
        <v>651</v>
      </c>
      <c r="J1288" t="s">
        <v>652</v>
      </c>
      <c r="K1288" t="s">
        <v>652</v>
      </c>
    </row>
    <row r="1289" spans="1:11" x14ac:dyDescent="0.5">
      <c r="A1289" t="s">
        <v>2623</v>
      </c>
      <c r="B1289" t="s">
        <v>1051</v>
      </c>
      <c r="C1289" t="s">
        <v>2624</v>
      </c>
      <c r="D1289" s="1">
        <v>1.34E-2</v>
      </c>
      <c r="E1289">
        <v>39.6</v>
      </c>
      <c r="F1289" t="s">
        <v>651</v>
      </c>
      <c r="J1289" t="s">
        <v>652</v>
      </c>
      <c r="K1289" t="s">
        <v>652</v>
      </c>
    </row>
    <row r="1290" spans="1:11" x14ac:dyDescent="0.5">
      <c r="A1290" t="s">
        <v>2625</v>
      </c>
      <c r="B1290" t="s">
        <v>1051</v>
      </c>
      <c r="C1290" t="s">
        <v>2626</v>
      </c>
      <c r="D1290" s="1">
        <v>1.0500000000000001E-2</v>
      </c>
      <c r="E1290">
        <v>39.5</v>
      </c>
      <c r="F1290" t="s">
        <v>651</v>
      </c>
      <c r="J1290" t="s">
        <v>652</v>
      </c>
      <c r="K1290" t="s">
        <v>652</v>
      </c>
    </row>
    <row r="1291" spans="1:11" x14ac:dyDescent="0.5">
      <c r="A1291" t="s">
        <v>2627</v>
      </c>
      <c r="B1291" t="s">
        <v>1051</v>
      </c>
      <c r="C1291" t="s">
        <v>2628</v>
      </c>
      <c r="D1291" s="1">
        <v>2.8999999999999998E-3</v>
      </c>
      <c r="E1291">
        <v>39.4</v>
      </c>
      <c r="F1291" t="s">
        <v>651</v>
      </c>
      <c r="J1291" t="s">
        <v>652</v>
      </c>
      <c r="K1291" t="s">
        <v>652</v>
      </c>
    </row>
    <row r="1292" spans="1:11" x14ac:dyDescent="0.5">
      <c r="A1292" t="s">
        <v>2629</v>
      </c>
      <c r="B1292" t="s">
        <v>1051</v>
      </c>
      <c r="C1292" t="s">
        <v>2630</v>
      </c>
      <c r="D1292" s="1">
        <v>3.2800000000000003E-2</v>
      </c>
      <c r="E1292">
        <v>16.399999999999999</v>
      </c>
      <c r="F1292" t="s">
        <v>651</v>
      </c>
      <c r="G1292" t="s">
        <v>506</v>
      </c>
      <c r="H1292" t="s">
        <v>506</v>
      </c>
      <c r="I1292">
        <v>0</v>
      </c>
      <c r="J1292" t="s">
        <v>652</v>
      </c>
      <c r="K1292" t="s">
        <v>652</v>
      </c>
    </row>
    <row r="1293" spans="1:11" x14ac:dyDescent="0.5">
      <c r="A1293" t="s">
        <v>2631</v>
      </c>
      <c r="B1293" t="s">
        <v>1051</v>
      </c>
      <c r="C1293" t="s">
        <v>2632</v>
      </c>
      <c r="D1293" s="1">
        <v>8.8000000000000005E-3</v>
      </c>
      <c r="E1293">
        <v>39</v>
      </c>
      <c r="F1293" t="s">
        <v>651</v>
      </c>
      <c r="J1293" t="s">
        <v>652</v>
      </c>
      <c r="K1293" t="s">
        <v>652</v>
      </c>
    </row>
    <row r="1294" spans="1:11" x14ac:dyDescent="0.5">
      <c r="A1294" t="s">
        <v>2633</v>
      </c>
      <c r="B1294" t="s">
        <v>1051</v>
      </c>
      <c r="C1294" t="s">
        <v>2634</v>
      </c>
      <c r="D1294" s="1">
        <v>1.0699999999999999E-2</v>
      </c>
      <c r="E1294">
        <v>39</v>
      </c>
      <c r="F1294" t="s">
        <v>651</v>
      </c>
      <c r="J1294" t="s">
        <v>652</v>
      </c>
      <c r="K1294" t="s">
        <v>652</v>
      </c>
    </row>
    <row r="1295" spans="1:11" x14ac:dyDescent="0.5">
      <c r="A1295" t="s">
        <v>2635</v>
      </c>
      <c r="B1295" t="s">
        <v>1051</v>
      </c>
      <c r="C1295" t="s">
        <v>2636</v>
      </c>
      <c r="D1295" s="1">
        <v>1.8100000000000002E-2</v>
      </c>
      <c r="E1295">
        <v>38.9</v>
      </c>
      <c r="F1295" t="s">
        <v>651</v>
      </c>
      <c r="J1295" t="s">
        <v>652</v>
      </c>
      <c r="K1295" t="s">
        <v>652</v>
      </c>
    </row>
    <row r="1296" spans="1:11" x14ac:dyDescent="0.5">
      <c r="A1296" t="s">
        <v>2637</v>
      </c>
      <c r="B1296" t="s">
        <v>1051</v>
      </c>
      <c r="C1296" t="s">
        <v>2638</v>
      </c>
      <c r="D1296" s="1">
        <v>1.03E-2</v>
      </c>
      <c r="E1296">
        <v>38.9</v>
      </c>
      <c r="F1296" t="s">
        <v>651</v>
      </c>
      <c r="J1296" t="s">
        <v>652</v>
      </c>
      <c r="K1296" t="s">
        <v>652</v>
      </c>
    </row>
    <row r="1297" spans="1:11" x14ac:dyDescent="0.5">
      <c r="A1297" t="s">
        <v>2639</v>
      </c>
      <c r="B1297" t="s">
        <v>1051</v>
      </c>
      <c r="C1297" t="s">
        <v>2640</v>
      </c>
      <c r="D1297" s="1">
        <v>2.5000000000000001E-3</v>
      </c>
      <c r="E1297">
        <v>38.799999999999997</v>
      </c>
      <c r="F1297" t="s">
        <v>651</v>
      </c>
      <c r="J1297" t="s">
        <v>652</v>
      </c>
      <c r="K1297" t="s">
        <v>652</v>
      </c>
    </row>
    <row r="1298" spans="1:11" x14ac:dyDescent="0.5">
      <c r="A1298" t="s">
        <v>2641</v>
      </c>
      <c r="B1298" t="s">
        <v>1051</v>
      </c>
      <c r="C1298" t="s">
        <v>2642</v>
      </c>
      <c r="D1298" s="1">
        <v>1.0200000000000001E-2</v>
      </c>
      <c r="E1298">
        <v>38.799999999999997</v>
      </c>
      <c r="F1298" t="s">
        <v>651</v>
      </c>
      <c r="J1298" t="s">
        <v>652</v>
      </c>
      <c r="K1298" t="s">
        <v>652</v>
      </c>
    </row>
    <row r="1299" spans="1:11" x14ac:dyDescent="0.5">
      <c r="A1299" t="s">
        <v>2643</v>
      </c>
      <c r="B1299" t="s">
        <v>1051</v>
      </c>
      <c r="C1299" t="s">
        <v>2644</v>
      </c>
      <c r="D1299" s="1">
        <v>8.0000000000000002E-3</v>
      </c>
      <c r="E1299">
        <v>38.6</v>
      </c>
      <c r="F1299" t="s">
        <v>651</v>
      </c>
      <c r="J1299" t="s">
        <v>652</v>
      </c>
      <c r="K1299" t="s">
        <v>652</v>
      </c>
    </row>
    <row r="1300" spans="1:11" x14ac:dyDescent="0.5">
      <c r="A1300" t="s">
        <v>2645</v>
      </c>
      <c r="B1300" t="s">
        <v>1051</v>
      </c>
      <c r="C1300" t="s">
        <v>2646</v>
      </c>
      <c r="D1300" s="1">
        <v>9.7999999999999997E-3</v>
      </c>
      <c r="E1300">
        <v>38.5</v>
      </c>
      <c r="F1300" t="s">
        <v>651</v>
      </c>
      <c r="J1300" t="s">
        <v>652</v>
      </c>
      <c r="K1300" t="s">
        <v>652</v>
      </c>
    </row>
    <row r="1301" spans="1:11" x14ac:dyDescent="0.5">
      <c r="A1301" t="s">
        <v>2647</v>
      </c>
      <c r="B1301" t="s">
        <v>1051</v>
      </c>
      <c r="C1301" t="s">
        <v>2648</v>
      </c>
      <c r="D1301" s="1">
        <v>1.15E-2</v>
      </c>
      <c r="E1301">
        <v>35.700000000000003</v>
      </c>
      <c r="F1301" t="s">
        <v>651</v>
      </c>
      <c r="G1301" t="s">
        <v>506</v>
      </c>
      <c r="H1301" t="s">
        <v>506</v>
      </c>
      <c r="I1301">
        <v>3.76</v>
      </c>
      <c r="J1301" t="s">
        <v>652</v>
      </c>
      <c r="K1301" t="s">
        <v>652</v>
      </c>
    </row>
    <row r="1302" spans="1:11" x14ac:dyDescent="0.5">
      <c r="A1302" t="s">
        <v>2649</v>
      </c>
      <c r="B1302" t="s">
        <v>1051</v>
      </c>
      <c r="C1302" t="s">
        <v>2650</v>
      </c>
      <c r="D1302" s="1">
        <v>8.8999999999999996E-2</v>
      </c>
      <c r="E1302">
        <v>10.5</v>
      </c>
      <c r="F1302" t="s">
        <v>651</v>
      </c>
      <c r="G1302" t="s">
        <v>459</v>
      </c>
      <c r="H1302" t="s">
        <v>506</v>
      </c>
      <c r="I1302">
        <v>6.6</v>
      </c>
      <c r="J1302" t="s">
        <v>652</v>
      </c>
      <c r="K1302" t="s">
        <v>652</v>
      </c>
    </row>
    <row r="1303" spans="1:11" x14ac:dyDescent="0.5">
      <c r="A1303" t="s">
        <v>2651</v>
      </c>
      <c r="B1303" t="s">
        <v>1051</v>
      </c>
      <c r="C1303" t="s">
        <v>2652</v>
      </c>
      <c r="D1303" s="1">
        <v>1E-3</v>
      </c>
      <c r="E1303">
        <v>37.9</v>
      </c>
      <c r="F1303" t="s">
        <v>651</v>
      </c>
      <c r="J1303" t="s">
        <v>652</v>
      </c>
      <c r="K1303" t="s">
        <v>652</v>
      </c>
    </row>
    <row r="1304" spans="1:11" x14ac:dyDescent="0.5">
      <c r="A1304" t="s">
        <v>2653</v>
      </c>
      <c r="B1304" t="s">
        <v>1051</v>
      </c>
      <c r="C1304" t="s">
        <v>2654</v>
      </c>
      <c r="D1304" s="1">
        <v>5.0000000000000001E-3</v>
      </c>
      <c r="E1304">
        <v>26.8</v>
      </c>
      <c r="F1304" t="s">
        <v>651</v>
      </c>
      <c r="G1304" t="s">
        <v>506</v>
      </c>
      <c r="H1304" t="s">
        <v>32</v>
      </c>
      <c r="I1304">
        <v>15.53</v>
      </c>
      <c r="J1304" t="s">
        <v>652</v>
      </c>
      <c r="K1304" t="s">
        <v>652</v>
      </c>
    </row>
    <row r="1305" spans="1:11" x14ac:dyDescent="0.5">
      <c r="A1305" t="s">
        <v>2655</v>
      </c>
      <c r="B1305" t="s">
        <v>1051</v>
      </c>
      <c r="C1305" t="s">
        <v>2656</v>
      </c>
      <c r="D1305" s="1">
        <v>8.3000000000000001E-3</v>
      </c>
      <c r="E1305">
        <v>37.700000000000003</v>
      </c>
      <c r="F1305" t="s">
        <v>651</v>
      </c>
      <c r="J1305" t="s">
        <v>652</v>
      </c>
      <c r="K1305" t="s">
        <v>652</v>
      </c>
    </row>
    <row r="1306" spans="1:11" x14ac:dyDescent="0.5">
      <c r="A1306" t="s">
        <v>2657</v>
      </c>
      <c r="B1306" t="s">
        <v>1051</v>
      </c>
      <c r="C1306" t="s">
        <v>2658</v>
      </c>
      <c r="D1306" s="1">
        <v>4.2900000000000001E-2</v>
      </c>
      <c r="E1306">
        <v>12.2</v>
      </c>
      <c r="F1306" t="s">
        <v>651</v>
      </c>
      <c r="G1306" t="s">
        <v>506</v>
      </c>
      <c r="H1306" t="s">
        <v>506</v>
      </c>
      <c r="I1306">
        <v>3.66</v>
      </c>
      <c r="J1306" t="s">
        <v>652</v>
      </c>
      <c r="K1306" t="s">
        <v>652</v>
      </c>
    </row>
    <row r="1307" spans="1:11" x14ac:dyDescent="0.5">
      <c r="A1307" t="s">
        <v>2659</v>
      </c>
      <c r="B1307" t="s">
        <v>1051</v>
      </c>
      <c r="C1307" t="s">
        <v>2660</v>
      </c>
      <c r="D1307" s="1">
        <v>1.0999999999999999E-2</v>
      </c>
      <c r="E1307">
        <v>37.6</v>
      </c>
      <c r="F1307" t="s">
        <v>651</v>
      </c>
      <c r="J1307" t="s">
        <v>652</v>
      </c>
      <c r="K1307" t="s">
        <v>652</v>
      </c>
    </row>
    <row r="1308" spans="1:11" x14ac:dyDescent="0.5">
      <c r="A1308" t="s">
        <v>2661</v>
      </c>
      <c r="B1308" t="s">
        <v>1051</v>
      </c>
      <c r="C1308" t="s">
        <v>2662</v>
      </c>
      <c r="D1308" s="1">
        <v>4.7999999999999996E-3</v>
      </c>
      <c r="E1308">
        <v>37.200000000000003</v>
      </c>
      <c r="F1308" t="s">
        <v>651</v>
      </c>
      <c r="J1308" t="s">
        <v>652</v>
      </c>
      <c r="K1308" t="s">
        <v>652</v>
      </c>
    </row>
    <row r="1309" spans="1:11" x14ac:dyDescent="0.5">
      <c r="A1309" t="s">
        <v>2663</v>
      </c>
      <c r="B1309" t="s">
        <v>1051</v>
      </c>
      <c r="C1309" t="s">
        <v>2664</v>
      </c>
      <c r="D1309" s="1">
        <v>1.21E-2</v>
      </c>
      <c r="E1309">
        <v>37.200000000000003</v>
      </c>
      <c r="F1309" t="s">
        <v>651</v>
      </c>
      <c r="J1309" t="s">
        <v>652</v>
      </c>
      <c r="K1309" t="s">
        <v>652</v>
      </c>
    </row>
    <row r="1310" spans="1:11" x14ac:dyDescent="0.5">
      <c r="A1310" t="s">
        <v>2665</v>
      </c>
      <c r="B1310" t="s">
        <v>1051</v>
      </c>
      <c r="C1310" t="s">
        <v>2666</v>
      </c>
      <c r="D1310" s="1">
        <v>1.7999999999999999E-2</v>
      </c>
      <c r="E1310">
        <v>37</v>
      </c>
      <c r="F1310" t="s">
        <v>651</v>
      </c>
      <c r="J1310" t="s">
        <v>652</v>
      </c>
      <c r="K1310" t="s">
        <v>652</v>
      </c>
    </row>
    <row r="1311" spans="1:11" x14ac:dyDescent="0.5">
      <c r="A1311" t="s">
        <v>2667</v>
      </c>
      <c r="B1311" t="s">
        <v>1051</v>
      </c>
      <c r="C1311" t="s">
        <v>2668</v>
      </c>
      <c r="D1311" s="1">
        <v>9.1999999999999998E-3</v>
      </c>
      <c r="E1311">
        <v>37</v>
      </c>
      <c r="F1311" t="s">
        <v>651</v>
      </c>
      <c r="J1311" t="s">
        <v>652</v>
      </c>
      <c r="K1311" t="s">
        <v>652</v>
      </c>
    </row>
    <row r="1312" spans="1:11" x14ac:dyDescent="0.5">
      <c r="A1312" t="s">
        <v>2669</v>
      </c>
      <c r="B1312" t="s">
        <v>1051</v>
      </c>
      <c r="C1312" t="s">
        <v>2670</v>
      </c>
      <c r="D1312" s="1">
        <v>9.4000000000000004E-3</v>
      </c>
      <c r="E1312">
        <v>37</v>
      </c>
      <c r="F1312" t="s">
        <v>651</v>
      </c>
      <c r="J1312" t="s">
        <v>652</v>
      </c>
      <c r="K1312" t="s">
        <v>652</v>
      </c>
    </row>
    <row r="1313" spans="1:11" x14ac:dyDescent="0.5">
      <c r="A1313" t="s">
        <v>2671</v>
      </c>
      <c r="B1313" t="s">
        <v>1051</v>
      </c>
      <c r="C1313" t="s">
        <v>2672</v>
      </c>
      <c r="D1313" s="1">
        <v>9.4000000000000004E-3</v>
      </c>
      <c r="E1313">
        <v>36.9</v>
      </c>
      <c r="F1313" t="s">
        <v>651</v>
      </c>
      <c r="G1313" t="s">
        <v>506</v>
      </c>
      <c r="H1313" t="s">
        <v>506</v>
      </c>
      <c r="I1313">
        <v>0</v>
      </c>
      <c r="J1313" t="s">
        <v>652</v>
      </c>
      <c r="K1313" t="s">
        <v>652</v>
      </c>
    </row>
    <row r="1314" spans="1:11" x14ac:dyDescent="0.5">
      <c r="A1314" t="s">
        <v>2673</v>
      </c>
      <c r="B1314" t="s">
        <v>1051</v>
      </c>
      <c r="C1314" t="s">
        <v>2674</v>
      </c>
      <c r="D1314" s="1">
        <v>1.2999999999999999E-3</v>
      </c>
      <c r="E1314">
        <v>36.9</v>
      </c>
      <c r="F1314" t="s">
        <v>651</v>
      </c>
      <c r="J1314" t="s">
        <v>652</v>
      </c>
      <c r="K1314" t="s">
        <v>652</v>
      </c>
    </row>
    <row r="1315" spans="1:11" x14ac:dyDescent="0.5">
      <c r="A1315" t="s">
        <v>2675</v>
      </c>
      <c r="B1315" t="s">
        <v>1051</v>
      </c>
      <c r="C1315" t="s">
        <v>2676</v>
      </c>
      <c r="D1315" s="1">
        <v>6.6E-3</v>
      </c>
      <c r="E1315">
        <v>36.9</v>
      </c>
      <c r="F1315" t="s">
        <v>651</v>
      </c>
      <c r="J1315" t="s">
        <v>652</v>
      </c>
      <c r="K1315" t="s">
        <v>652</v>
      </c>
    </row>
    <row r="1316" spans="1:11" x14ac:dyDescent="0.5">
      <c r="A1316" t="s">
        <v>2677</v>
      </c>
      <c r="B1316" t="s">
        <v>1051</v>
      </c>
      <c r="C1316" t="s">
        <v>2678</v>
      </c>
      <c r="D1316" s="1">
        <v>8.5000000000000006E-3</v>
      </c>
      <c r="E1316">
        <v>36.9</v>
      </c>
      <c r="F1316" t="s">
        <v>651</v>
      </c>
      <c r="J1316" t="s">
        <v>652</v>
      </c>
      <c r="K1316" t="s">
        <v>652</v>
      </c>
    </row>
    <row r="1317" spans="1:11" x14ac:dyDescent="0.5">
      <c r="A1317" t="s">
        <v>2679</v>
      </c>
      <c r="B1317" t="s">
        <v>1051</v>
      </c>
      <c r="C1317" t="s">
        <v>2680</v>
      </c>
      <c r="D1317" s="1">
        <v>1.4999999999999999E-2</v>
      </c>
      <c r="E1317">
        <v>28.9</v>
      </c>
      <c r="F1317" t="s">
        <v>651</v>
      </c>
      <c r="G1317" t="s">
        <v>253</v>
      </c>
      <c r="H1317" t="s">
        <v>506</v>
      </c>
      <c r="I1317">
        <v>10.79</v>
      </c>
      <c r="J1317" t="s">
        <v>652</v>
      </c>
      <c r="K1317" t="s">
        <v>652</v>
      </c>
    </row>
    <row r="1318" spans="1:11" x14ac:dyDescent="0.5">
      <c r="A1318" t="s">
        <v>2681</v>
      </c>
      <c r="B1318" t="s">
        <v>1051</v>
      </c>
      <c r="C1318" t="s">
        <v>2682</v>
      </c>
      <c r="D1318" s="1">
        <v>9.5999999999999992E-3</v>
      </c>
      <c r="E1318">
        <v>36.6</v>
      </c>
      <c r="F1318" t="s">
        <v>651</v>
      </c>
      <c r="J1318" t="s">
        <v>652</v>
      </c>
      <c r="K1318" t="s">
        <v>652</v>
      </c>
    </row>
    <row r="1319" spans="1:11" x14ac:dyDescent="0.5">
      <c r="A1319" t="s">
        <v>2683</v>
      </c>
      <c r="B1319" t="s">
        <v>1051</v>
      </c>
      <c r="C1319" t="s">
        <v>2684</v>
      </c>
      <c r="D1319" s="1">
        <v>1.4200000000000001E-2</v>
      </c>
      <c r="E1319">
        <v>36.6</v>
      </c>
      <c r="F1319" t="s">
        <v>651</v>
      </c>
      <c r="J1319" t="s">
        <v>652</v>
      </c>
      <c r="K1319" t="s">
        <v>652</v>
      </c>
    </row>
    <row r="1320" spans="1:11" x14ac:dyDescent="0.5">
      <c r="A1320" t="s">
        <v>2685</v>
      </c>
      <c r="B1320" t="s">
        <v>1051</v>
      </c>
      <c r="C1320" t="s">
        <v>2686</v>
      </c>
      <c r="D1320" s="1">
        <v>7.7000000000000002E-3</v>
      </c>
      <c r="E1320">
        <v>36.5</v>
      </c>
      <c r="F1320" t="s">
        <v>651</v>
      </c>
      <c r="J1320" t="s">
        <v>652</v>
      </c>
      <c r="K1320" t="s">
        <v>652</v>
      </c>
    </row>
    <row r="1321" spans="1:11" x14ac:dyDescent="0.5">
      <c r="A1321" t="s">
        <v>2687</v>
      </c>
      <c r="B1321" t="s">
        <v>1051</v>
      </c>
      <c r="C1321" t="s">
        <v>2688</v>
      </c>
      <c r="D1321" s="1">
        <v>1.9900000000000001E-2</v>
      </c>
      <c r="E1321">
        <v>36.5</v>
      </c>
      <c r="F1321" t="s">
        <v>651</v>
      </c>
      <c r="J1321" t="s">
        <v>652</v>
      </c>
      <c r="K1321" t="s">
        <v>652</v>
      </c>
    </row>
    <row r="1322" spans="1:11" x14ac:dyDescent="0.5">
      <c r="A1322" t="s">
        <v>2689</v>
      </c>
      <c r="B1322" t="s">
        <v>1051</v>
      </c>
      <c r="C1322" t="s">
        <v>2690</v>
      </c>
      <c r="D1322" s="1">
        <v>4.0899999999999999E-2</v>
      </c>
      <c r="E1322">
        <v>13.3</v>
      </c>
      <c r="F1322" t="s">
        <v>651</v>
      </c>
      <c r="G1322" t="s">
        <v>506</v>
      </c>
      <c r="H1322" t="s">
        <v>506</v>
      </c>
      <c r="I1322">
        <v>0</v>
      </c>
      <c r="J1322" t="s">
        <v>652</v>
      </c>
      <c r="K1322" t="s">
        <v>652</v>
      </c>
    </row>
    <row r="1323" spans="1:11" x14ac:dyDescent="0.5">
      <c r="A1323" t="s">
        <v>2691</v>
      </c>
      <c r="B1323" t="s">
        <v>1051</v>
      </c>
      <c r="C1323" t="s">
        <v>2692</v>
      </c>
      <c r="D1323" s="1">
        <v>9.4000000000000004E-3</v>
      </c>
      <c r="E1323">
        <v>36.1</v>
      </c>
      <c r="F1323" t="s">
        <v>651</v>
      </c>
      <c r="J1323" t="s">
        <v>652</v>
      </c>
      <c r="K1323" t="s">
        <v>652</v>
      </c>
    </row>
    <row r="1324" spans="1:11" x14ac:dyDescent="0.5">
      <c r="A1324" t="s">
        <v>2693</v>
      </c>
      <c r="B1324" t="s">
        <v>1051</v>
      </c>
      <c r="C1324" t="s">
        <v>2694</v>
      </c>
      <c r="D1324" s="1">
        <v>8.0000000000000004E-4</v>
      </c>
      <c r="E1324">
        <v>36</v>
      </c>
      <c r="F1324" t="s">
        <v>651</v>
      </c>
      <c r="J1324" t="s">
        <v>652</v>
      </c>
      <c r="K1324" t="s">
        <v>652</v>
      </c>
    </row>
    <row r="1325" spans="1:11" x14ac:dyDescent="0.5">
      <c r="A1325" t="s">
        <v>2695</v>
      </c>
      <c r="B1325" t="s">
        <v>1051</v>
      </c>
      <c r="C1325" t="s">
        <v>2696</v>
      </c>
      <c r="D1325" s="1">
        <v>7.3000000000000001E-3</v>
      </c>
      <c r="E1325">
        <v>27.2</v>
      </c>
      <c r="F1325" t="s">
        <v>651</v>
      </c>
      <c r="G1325" t="s">
        <v>254</v>
      </c>
      <c r="H1325" t="s">
        <v>506</v>
      </c>
      <c r="I1325">
        <v>11.43</v>
      </c>
      <c r="J1325" t="s">
        <v>652</v>
      </c>
      <c r="K1325" t="s">
        <v>652</v>
      </c>
    </row>
    <row r="1326" spans="1:11" x14ac:dyDescent="0.5">
      <c r="A1326" t="s">
        <v>2697</v>
      </c>
      <c r="B1326" t="s">
        <v>1051</v>
      </c>
      <c r="C1326" t="s">
        <v>2698</v>
      </c>
      <c r="D1326" s="1">
        <v>1.7399999999999999E-2</v>
      </c>
      <c r="E1326">
        <v>23.5</v>
      </c>
      <c r="F1326" t="s">
        <v>651</v>
      </c>
      <c r="G1326" t="s">
        <v>506</v>
      </c>
      <c r="H1326" t="s">
        <v>32</v>
      </c>
      <c r="I1326">
        <v>16.309999999999999</v>
      </c>
      <c r="J1326" t="s">
        <v>652</v>
      </c>
      <c r="K1326" t="s">
        <v>652</v>
      </c>
    </row>
    <row r="1327" spans="1:11" x14ac:dyDescent="0.5">
      <c r="A1327" t="s">
        <v>2699</v>
      </c>
      <c r="B1327" t="s">
        <v>1051</v>
      </c>
      <c r="C1327" t="s">
        <v>2700</v>
      </c>
      <c r="D1327" s="1">
        <v>5.5899999999999998E-2</v>
      </c>
      <c r="E1327">
        <v>10.5</v>
      </c>
      <c r="F1327" t="s">
        <v>651</v>
      </c>
      <c r="G1327" t="s">
        <v>506</v>
      </c>
      <c r="H1327" t="s">
        <v>506</v>
      </c>
      <c r="I1327">
        <v>2.25</v>
      </c>
      <c r="J1327" t="s">
        <v>652</v>
      </c>
      <c r="K1327" t="s">
        <v>652</v>
      </c>
    </row>
    <row r="1328" spans="1:11" x14ac:dyDescent="0.5">
      <c r="A1328" t="s">
        <v>2701</v>
      </c>
      <c r="B1328" t="s">
        <v>1051</v>
      </c>
      <c r="C1328" t="s">
        <v>2702</v>
      </c>
      <c r="D1328" s="1">
        <v>5.67E-2</v>
      </c>
      <c r="E1328">
        <v>10.5</v>
      </c>
      <c r="F1328" t="s">
        <v>651</v>
      </c>
      <c r="G1328" t="s">
        <v>506</v>
      </c>
      <c r="H1328" t="s">
        <v>506</v>
      </c>
      <c r="I1328">
        <v>2.0499999999999998</v>
      </c>
      <c r="J1328" t="s">
        <v>652</v>
      </c>
      <c r="K1328" t="s">
        <v>652</v>
      </c>
    </row>
    <row r="1329" spans="1:11" x14ac:dyDescent="0.5">
      <c r="A1329" t="s">
        <v>2703</v>
      </c>
      <c r="B1329" t="s">
        <v>1051</v>
      </c>
      <c r="C1329" t="s">
        <v>2704</v>
      </c>
      <c r="D1329" s="1">
        <v>1.4500000000000001E-2</v>
      </c>
      <c r="E1329">
        <v>34.299999999999997</v>
      </c>
      <c r="F1329" t="s">
        <v>651</v>
      </c>
      <c r="J1329" t="s">
        <v>652</v>
      </c>
      <c r="K1329" t="s">
        <v>652</v>
      </c>
    </row>
    <row r="1330" spans="1:11" x14ac:dyDescent="0.5">
      <c r="A1330" t="s">
        <v>2705</v>
      </c>
      <c r="B1330" t="s">
        <v>1051</v>
      </c>
      <c r="C1330" t="s">
        <v>2706</v>
      </c>
      <c r="D1330" s="1">
        <v>4.8099999999999997E-2</v>
      </c>
      <c r="E1330">
        <v>10.5</v>
      </c>
      <c r="F1330" t="s">
        <v>651</v>
      </c>
      <c r="G1330" t="s">
        <v>506</v>
      </c>
      <c r="H1330" t="s">
        <v>506</v>
      </c>
      <c r="I1330">
        <v>0.43</v>
      </c>
      <c r="J1330" t="s">
        <v>652</v>
      </c>
      <c r="K1330" t="s">
        <v>652</v>
      </c>
    </row>
    <row r="1331" spans="1:11" x14ac:dyDescent="0.5">
      <c r="A1331" t="s">
        <v>2707</v>
      </c>
      <c r="B1331" t="s">
        <v>1051</v>
      </c>
      <c r="C1331" t="s">
        <v>2708</v>
      </c>
      <c r="D1331" s="1">
        <v>7.4000000000000003E-3</v>
      </c>
      <c r="E1331">
        <v>18.5</v>
      </c>
      <c r="F1331" t="s">
        <v>651</v>
      </c>
      <c r="G1331" t="s">
        <v>506</v>
      </c>
      <c r="H1331" t="s">
        <v>32</v>
      </c>
      <c r="I1331">
        <v>21.04</v>
      </c>
      <c r="J1331" t="s">
        <v>652</v>
      </c>
      <c r="K1331" t="s">
        <v>652</v>
      </c>
    </row>
    <row r="1332" spans="1:11" x14ac:dyDescent="0.5">
      <c r="A1332" t="s">
        <v>2709</v>
      </c>
      <c r="B1332" t="s">
        <v>1051</v>
      </c>
      <c r="C1332" t="s">
        <v>2710</v>
      </c>
      <c r="D1332" s="1">
        <v>8.6E-3</v>
      </c>
      <c r="E1332">
        <v>21.5</v>
      </c>
      <c r="F1332" t="s">
        <v>651</v>
      </c>
      <c r="G1332" t="s">
        <v>506</v>
      </c>
      <c r="H1332" t="s">
        <v>32</v>
      </c>
      <c r="I1332">
        <v>16.16</v>
      </c>
      <c r="J1332" t="s">
        <v>652</v>
      </c>
      <c r="K1332" t="s">
        <v>652</v>
      </c>
    </row>
    <row r="1333" spans="1:11" x14ac:dyDescent="0.5">
      <c r="A1333" t="s">
        <v>2711</v>
      </c>
      <c r="B1333" t="s">
        <v>1051</v>
      </c>
      <c r="C1333" t="s">
        <v>2712</v>
      </c>
      <c r="D1333" s="1">
        <v>1.32E-2</v>
      </c>
      <c r="E1333">
        <v>33</v>
      </c>
      <c r="F1333" t="s">
        <v>651</v>
      </c>
      <c r="G1333" t="s">
        <v>506</v>
      </c>
      <c r="H1333" t="s">
        <v>506</v>
      </c>
      <c r="I1333">
        <v>0</v>
      </c>
      <c r="J1333" t="s">
        <v>652</v>
      </c>
      <c r="K1333" t="s">
        <v>652</v>
      </c>
    </row>
    <row r="1334" spans="1:11" x14ac:dyDescent="0.5">
      <c r="A1334" t="s">
        <v>2713</v>
      </c>
      <c r="B1334" t="s">
        <v>1051</v>
      </c>
      <c r="C1334" t="s">
        <v>2714</v>
      </c>
      <c r="D1334" s="1">
        <v>5.8999999999999999E-3</v>
      </c>
      <c r="E1334">
        <v>33</v>
      </c>
      <c r="F1334" t="s">
        <v>651</v>
      </c>
      <c r="J1334" t="s">
        <v>652</v>
      </c>
      <c r="K1334" t="s">
        <v>652</v>
      </c>
    </row>
    <row r="1335" spans="1:11" x14ac:dyDescent="0.5">
      <c r="A1335" t="s">
        <v>2715</v>
      </c>
      <c r="B1335" t="s">
        <v>1051</v>
      </c>
      <c r="C1335" t="s">
        <v>2716</v>
      </c>
      <c r="D1335" s="1">
        <v>5.4000000000000003E-3</v>
      </c>
      <c r="E1335">
        <v>32.9</v>
      </c>
      <c r="F1335" t="s">
        <v>651</v>
      </c>
      <c r="J1335" t="s">
        <v>652</v>
      </c>
      <c r="K1335" t="s">
        <v>652</v>
      </c>
    </row>
    <row r="1336" spans="1:11" x14ac:dyDescent="0.5">
      <c r="A1336" t="s">
        <v>2717</v>
      </c>
      <c r="B1336" t="s">
        <v>1051</v>
      </c>
      <c r="C1336" t="s">
        <v>2718</v>
      </c>
      <c r="D1336" s="1">
        <v>1.2800000000000001E-2</v>
      </c>
      <c r="E1336">
        <v>32.799999999999997</v>
      </c>
      <c r="F1336" t="s">
        <v>651</v>
      </c>
      <c r="G1336" t="s">
        <v>506</v>
      </c>
      <c r="H1336" t="s">
        <v>506</v>
      </c>
      <c r="I1336">
        <v>0</v>
      </c>
      <c r="J1336" t="s">
        <v>652</v>
      </c>
      <c r="K1336" t="s">
        <v>652</v>
      </c>
    </row>
    <row r="1337" spans="1:11" x14ac:dyDescent="0.5">
      <c r="A1337" t="s">
        <v>2719</v>
      </c>
      <c r="B1337" t="s">
        <v>1051</v>
      </c>
      <c r="C1337" t="s">
        <v>2720</v>
      </c>
      <c r="D1337" s="1">
        <v>1.2999999999999999E-2</v>
      </c>
      <c r="E1337">
        <v>32.6</v>
      </c>
      <c r="F1337" t="s">
        <v>651</v>
      </c>
      <c r="J1337" t="s">
        <v>652</v>
      </c>
      <c r="K1337" t="s">
        <v>652</v>
      </c>
    </row>
    <row r="1338" spans="1:11" x14ac:dyDescent="0.5">
      <c r="A1338" t="s">
        <v>2721</v>
      </c>
      <c r="B1338" t="s">
        <v>1051</v>
      </c>
      <c r="C1338" t="s">
        <v>2722</v>
      </c>
      <c r="D1338" s="1">
        <v>1.2999999999999999E-2</v>
      </c>
      <c r="E1338">
        <v>32.5</v>
      </c>
      <c r="F1338" t="s">
        <v>651</v>
      </c>
      <c r="G1338" t="s">
        <v>506</v>
      </c>
      <c r="H1338" t="s">
        <v>506</v>
      </c>
      <c r="I1338">
        <v>0</v>
      </c>
      <c r="J1338" t="s">
        <v>652</v>
      </c>
      <c r="K1338" t="s">
        <v>652</v>
      </c>
    </row>
    <row r="1339" spans="1:11" x14ac:dyDescent="0.5">
      <c r="A1339" t="s">
        <v>2723</v>
      </c>
      <c r="B1339" t="s">
        <v>1051</v>
      </c>
      <c r="C1339" t="s">
        <v>2724</v>
      </c>
      <c r="D1339" s="1">
        <v>1.21E-2</v>
      </c>
      <c r="E1339">
        <v>31.7</v>
      </c>
      <c r="F1339" t="s">
        <v>651</v>
      </c>
      <c r="G1339" t="s">
        <v>506</v>
      </c>
      <c r="H1339" t="s">
        <v>506</v>
      </c>
      <c r="I1339">
        <v>0</v>
      </c>
      <c r="J1339" t="s">
        <v>652</v>
      </c>
      <c r="K1339" t="s">
        <v>652</v>
      </c>
    </row>
    <row r="1340" spans="1:11" x14ac:dyDescent="0.5">
      <c r="A1340" t="s">
        <v>2725</v>
      </c>
      <c r="B1340" t="s">
        <v>1051</v>
      </c>
      <c r="C1340" t="s">
        <v>2726</v>
      </c>
      <c r="D1340" s="1">
        <v>1.9599999999999999E-2</v>
      </c>
      <c r="E1340">
        <v>31.6</v>
      </c>
      <c r="F1340" t="s">
        <v>651</v>
      </c>
      <c r="J1340" t="s">
        <v>652</v>
      </c>
      <c r="K1340" t="s">
        <v>652</v>
      </c>
    </row>
    <row r="1341" spans="1:11" x14ac:dyDescent="0.5">
      <c r="A1341" t="s">
        <v>2727</v>
      </c>
      <c r="B1341" t="s">
        <v>1051</v>
      </c>
      <c r="C1341" t="s">
        <v>2728</v>
      </c>
      <c r="D1341" s="1">
        <v>3.3099999999999997E-2</v>
      </c>
      <c r="E1341">
        <v>8.6999999999999993</v>
      </c>
      <c r="F1341" t="s">
        <v>651</v>
      </c>
      <c r="G1341" t="s">
        <v>506</v>
      </c>
      <c r="H1341" t="s">
        <v>506</v>
      </c>
      <c r="I1341">
        <v>0</v>
      </c>
      <c r="J1341" t="s">
        <v>652</v>
      </c>
      <c r="K1341" t="s">
        <v>652</v>
      </c>
    </row>
    <row r="1342" spans="1:11" x14ac:dyDescent="0.5">
      <c r="A1342" t="s">
        <v>2729</v>
      </c>
      <c r="B1342" t="s">
        <v>1051</v>
      </c>
      <c r="C1342" t="s">
        <v>2730</v>
      </c>
      <c r="D1342" s="1">
        <v>1.2500000000000001E-2</v>
      </c>
      <c r="E1342">
        <v>31.2</v>
      </c>
      <c r="F1342" t="s">
        <v>651</v>
      </c>
      <c r="G1342" t="s">
        <v>506</v>
      </c>
      <c r="H1342" t="s">
        <v>506</v>
      </c>
      <c r="I1342">
        <v>0</v>
      </c>
      <c r="J1342" t="s">
        <v>652</v>
      </c>
      <c r="K1342" t="s">
        <v>652</v>
      </c>
    </row>
    <row r="1343" spans="1:11" x14ac:dyDescent="0.5">
      <c r="A1343" t="s">
        <v>2731</v>
      </c>
      <c r="B1343" t="s">
        <v>1051</v>
      </c>
      <c r="C1343" t="s">
        <v>2732</v>
      </c>
      <c r="D1343" s="1">
        <v>1.66E-2</v>
      </c>
      <c r="E1343">
        <v>31.1</v>
      </c>
      <c r="F1343" t="s">
        <v>651</v>
      </c>
      <c r="J1343" t="s">
        <v>652</v>
      </c>
      <c r="K1343" t="s">
        <v>652</v>
      </c>
    </row>
    <row r="1344" spans="1:11" x14ac:dyDescent="0.5">
      <c r="A1344" t="s">
        <v>2733</v>
      </c>
      <c r="B1344" t="s">
        <v>1051</v>
      </c>
      <c r="C1344" t="s">
        <v>2734</v>
      </c>
      <c r="D1344" s="1">
        <v>1.23E-2</v>
      </c>
      <c r="E1344">
        <v>30.8</v>
      </c>
      <c r="F1344" t="s">
        <v>651</v>
      </c>
      <c r="G1344" t="s">
        <v>506</v>
      </c>
      <c r="H1344" t="s">
        <v>506</v>
      </c>
      <c r="I1344">
        <v>0</v>
      </c>
      <c r="J1344" t="s">
        <v>652</v>
      </c>
      <c r="K1344" t="s">
        <v>652</v>
      </c>
    </row>
    <row r="1345" spans="1:11" x14ac:dyDescent="0.5">
      <c r="A1345" t="s">
        <v>2735</v>
      </c>
      <c r="B1345" t="s">
        <v>1051</v>
      </c>
      <c r="C1345" t="s">
        <v>2736</v>
      </c>
      <c r="D1345" s="1">
        <v>1.77E-2</v>
      </c>
      <c r="E1345">
        <v>30.4</v>
      </c>
      <c r="F1345" t="s">
        <v>651</v>
      </c>
      <c r="J1345" t="s">
        <v>652</v>
      </c>
      <c r="K1345" t="s">
        <v>652</v>
      </c>
    </row>
    <row r="1346" spans="1:11" x14ac:dyDescent="0.5">
      <c r="A1346" t="s">
        <v>2737</v>
      </c>
      <c r="B1346" t="s">
        <v>1051</v>
      </c>
      <c r="C1346" t="s">
        <v>2738</v>
      </c>
      <c r="D1346" s="1">
        <v>1.21E-2</v>
      </c>
      <c r="E1346">
        <v>30.2</v>
      </c>
      <c r="F1346" t="s">
        <v>651</v>
      </c>
      <c r="G1346" t="s">
        <v>506</v>
      </c>
      <c r="H1346" t="s">
        <v>506</v>
      </c>
      <c r="I1346">
        <v>0</v>
      </c>
      <c r="J1346" t="s">
        <v>652</v>
      </c>
      <c r="K1346" t="s">
        <v>652</v>
      </c>
    </row>
    <row r="1347" spans="1:11" x14ac:dyDescent="0.5">
      <c r="A1347" t="s">
        <v>2739</v>
      </c>
      <c r="B1347" t="s">
        <v>1051</v>
      </c>
      <c r="C1347" t="s">
        <v>2740</v>
      </c>
      <c r="D1347" s="1">
        <v>2.8E-3</v>
      </c>
      <c r="E1347">
        <v>30</v>
      </c>
      <c r="F1347" t="s">
        <v>651</v>
      </c>
      <c r="J1347" t="s">
        <v>652</v>
      </c>
      <c r="K1347" t="s">
        <v>652</v>
      </c>
    </row>
    <row r="1348" spans="1:11" x14ac:dyDescent="0.5">
      <c r="A1348" t="s">
        <v>2741</v>
      </c>
      <c r="B1348" t="s">
        <v>1051</v>
      </c>
      <c r="C1348" t="s">
        <v>2742</v>
      </c>
      <c r="D1348" s="1">
        <v>1.12E-2</v>
      </c>
      <c r="E1348">
        <v>28</v>
      </c>
      <c r="F1348" t="s">
        <v>651</v>
      </c>
      <c r="G1348" t="s">
        <v>506</v>
      </c>
      <c r="H1348" t="s">
        <v>506</v>
      </c>
      <c r="I1348">
        <v>0</v>
      </c>
      <c r="J1348" t="s">
        <v>652</v>
      </c>
      <c r="K1348" t="s">
        <v>652</v>
      </c>
    </row>
    <row r="1349" spans="1:11" x14ac:dyDescent="0.5">
      <c r="A1349" t="s">
        <v>2743</v>
      </c>
      <c r="B1349" t="s">
        <v>1051</v>
      </c>
      <c r="C1349" t="s">
        <v>2744</v>
      </c>
      <c r="D1349" s="1">
        <v>1.03E-2</v>
      </c>
      <c r="E1349">
        <v>25.8</v>
      </c>
      <c r="F1349" t="s">
        <v>651</v>
      </c>
      <c r="J1349" t="s">
        <v>652</v>
      </c>
      <c r="K1349" t="s">
        <v>652</v>
      </c>
    </row>
    <row r="1350" spans="1:11" x14ac:dyDescent="0.5">
      <c r="A1350" t="s">
        <v>2745</v>
      </c>
      <c r="B1350" t="s">
        <v>1051</v>
      </c>
      <c r="C1350" t="s">
        <v>2746</v>
      </c>
      <c r="D1350" s="1">
        <v>5.5999999999999999E-3</v>
      </c>
      <c r="E1350">
        <v>25.8</v>
      </c>
      <c r="F1350" t="s">
        <v>651</v>
      </c>
      <c r="G1350" t="s">
        <v>506</v>
      </c>
      <c r="H1350" t="s">
        <v>506</v>
      </c>
      <c r="I1350">
        <v>0</v>
      </c>
      <c r="J1350" t="s">
        <v>652</v>
      </c>
      <c r="K1350" t="s">
        <v>652</v>
      </c>
    </row>
    <row r="1351" spans="1:11" x14ac:dyDescent="0.5">
      <c r="A1351" t="s">
        <v>2747</v>
      </c>
      <c r="B1351" t="s">
        <v>1051</v>
      </c>
      <c r="C1351" t="s">
        <v>2748</v>
      </c>
      <c r="D1351" s="1">
        <v>1.01E-2</v>
      </c>
      <c r="E1351">
        <v>25.2</v>
      </c>
      <c r="F1351" t="s">
        <v>651</v>
      </c>
      <c r="G1351" t="s">
        <v>506</v>
      </c>
      <c r="H1351" t="s">
        <v>506</v>
      </c>
      <c r="I1351">
        <v>0</v>
      </c>
      <c r="J1351" t="s">
        <v>652</v>
      </c>
      <c r="K1351" t="s">
        <v>652</v>
      </c>
    </row>
    <row r="1352" spans="1:11" x14ac:dyDescent="0.5">
      <c r="A1352" t="s">
        <v>2749</v>
      </c>
      <c r="B1352" t="s">
        <v>1051</v>
      </c>
      <c r="C1352" t="s">
        <v>2750</v>
      </c>
      <c r="D1352" s="1">
        <v>2.7000000000000001E-3</v>
      </c>
      <c r="E1352">
        <v>25.1</v>
      </c>
      <c r="F1352" t="s">
        <v>651</v>
      </c>
      <c r="J1352" t="s">
        <v>652</v>
      </c>
      <c r="K1352" t="s">
        <v>652</v>
      </c>
    </row>
    <row r="1353" spans="1:11" x14ac:dyDescent="0.5">
      <c r="A1353" t="s">
        <v>2751</v>
      </c>
      <c r="B1353" t="s">
        <v>1051</v>
      </c>
      <c r="C1353" t="s">
        <v>2752</v>
      </c>
      <c r="D1353" s="1">
        <v>9.1000000000000004E-3</v>
      </c>
      <c r="E1353">
        <v>22.7</v>
      </c>
      <c r="F1353" t="s">
        <v>651</v>
      </c>
      <c r="J1353" t="s">
        <v>652</v>
      </c>
      <c r="K1353" t="s">
        <v>652</v>
      </c>
    </row>
    <row r="1354" spans="1:11" x14ac:dyDescent="0.5">
      <c r="A1354" t="s">
        <v>2753</v>
      </c>
      <c r="B1354" t="s">
        <v>1051</v>
      </c>
      <c r="C1354" t="s">
        <v>2754</v>
      </c>
      <c r="D1354" s="1">
        <v>4.3E-3</v>
      </c>
      <c r="E1354">
        <v>22.7</v>
      </c>
      <c r="F1354" t="s">
        <v>651</v>
      </c>
      <c r="J1354" t="s">
        <v>652</v>
      </c>
      <c r="K1354" t="s">
        <v>652</v>
      </c>
    </row>
    <row r="1355" spans="1:11" x14ac:dyDescent="0.5">
      <c r="A1355" t="s">
        <v>2755</v>
      </c>
      <c r="B1355" t="s">
        <v>1051</v>
      </c>
      <c r="C1355" t="s">
        <v>2756</v>
      </c>
      <c r="D1355" s="1">
        <v>8.8999999999999999E-3</v>
      </c>
      <c r="E1355">
        <v>22.2</v>
      </c>
      <c r="F1355" t="s">
        <v>651</v>
      </c>
      <c r="G1355" t="s">
        <v>506</v>
      </c>
      <c r="H1355" t="s">
        <v>506</v>
      </c>
      <c r="I1355">
        <v>0</v>
      </c>
      <c r="J1355" t="s">
        <v>652</v>
      </c>
      <c r="K1355" t="s">
        <v>652</v>
      </c>
    </row>
    <row r="1356" spans="1:11" x14ac:dyDescent="0.5">
      <c r="A1356" t="s">
        <v>2757</v>
      </c>
      <c r="B1356" t="s">
        <v>1051</v>
      </c>
      <c r="C1356" t="s">
        <v>2758</v>
      </c>
      <c r="D1356" s="1">
        <v>2.5000000000000001E-3</v>
      </c>
      <c r="E1356">
        <v>14</v>
      </c>
      <c r="F1356" t="s">
        <v>651</v>
      </c>
      <c r="G1356" t="s">
        <v>254</v>
      </c>
      <c r="H1356" t="s">
        <v>506</v>
      </c>
      <c r="I1356">
        <v>10.52</v>
      </c>
      <c r="J1356" t="s">
        <v>652</v>
      </c>
      <c r="K1356" t="s">
        <v>652</v>
      </c>
    </row>
    <row r="1357" spans="1:11" x14ac:dyDescent="0.5">
      <c r="A1357" t="s">
        <v>2759</v>
      </c>
      <c r="B1357" t="s">
        <v>1051</v>
      </c>
      <c r="C1357" t="s">
        <v>2760</v>
      </c>
      <c r="D1357" s="1">
        <v>8.3999999999999995E-3</v>
      </c>
      <c r="E1357">
        <v>21</v>
      </c>
      <c r="F1357" t="s">
        <v>651</v>
      </c>
      <c r="G1357" t="s">
        <v>506</v>
      </c>
      <c r="H1357" t="s">
        <v>506</v>
      </c>
      <c r="I1357">
        <v>0</v>
      </c>
      <c r="J1357" t="s">
        <v>652</v>
      </c>
      <c r="K1357" t="s">
        <v>652</v>
      </c>
    </row>
    <row r="1358" spans="1:11" x14ac:dyDescent="0.5">
      <c r="A1358" t="s">
        <v>2761</v>
      </c>
      <c r="B1358" t="s">
        <v>1051</v>
      </c>
      <c r="C1358" t="s">
        <v>2762</v>
      </c>
      <c r="D1358" s="1">
        <v>8.3000000000000001E-3</v>
      </c>
      <c r="E1358">
        <v>20.7</v>
      </c>
      <c r="F1358" t="s">
        <v>651</v>
      </c>
      <c r="G1358" t="s">
        <v>506</v>
      </c>
      <c r="H1358" t="s">
        <v>506</v>
      </c>
      <c r="I1358">
        <v>0</v>
      </c>
      <c r="J1358" t="s">
        <v>652</v>
      </c>
      <c r="K1358" t="s">
        <v>652</v>
      </c>
    </row>
    <row r="1359" spans="1:11" x14ac:dyDescent="0.5">
      <c r="A1359" t="s">
        <v>2763</v>
      </c>
      <c r="B1359" t="s">
        <v>1051</v>
      </c>
      <c r="C1359" t="s">
        <v>2764</v>
      </c>
      <c r="D1359" s="1">
        <v>7.9000000000000008E-3</v>
      </c>
      <c r="E1359">
        <v>19.8</v>
      </c>
      <c r="F1359" t="s">
        <v>651</v>
      </c>
      <c r="G1359" t="s">
        <v>506</v>
      </c>
      <c r="H1359" t="s">
        <v>506</v>
      </c>
      <c r="I1359">
        <v>0</v>
      </c>
      <c r="J1359" t="s">
        <v>652</v>
      </c>
      <c r="K1359" t="s">
        <v>652</v>
      </c>
    </row>
    <row r="1360" spans="1:11" x14ac:dyDescent="0.5">
      <c r="A1360" t="s">
        <v>2765</v>
      </c>
      <c r="B1360" t="s">
        <v>1051</v>
      </c>
      <c r="C1360" t="s">
        <v>2766</v>
      </c>
      <c r="D1360" s="1">
        <v>1.2800000000000001E-2</v>
      </c>
      <c r="E1360">
        <v>19.7</v>
      </c>
      <c r="F1360" t="s">
        <v>651</v>
      </c>
      <c r="J1360" t="s">
        <v>652</v>
      </c>
      <c r="K1360" t="s">
        <v>652</v>
      </c>
    </row>
    <row r="1361" spans="1:11" x14ac:dyDescent="0.5">
      <c r="A1361" t="s">
        <v>2767</v>
      </c>
      <c r="B1361" t="s">
        <v>1051</v>
      </c>
      <c r="C1361" t="s">
        <v>2768</v>
      </c>
      <c r="D1361" s="1">
        <v>7.6E-3</v>
      </c>
      <c r="E1361">
        <v>19</v>
      </c>
      <c r="F1361" t="s">
        <v>651</v>
      </c>
      <c r="G1361" t="s">
        <v>506</v>
      </c>
      <c r="H1361" t="s">
        <v>506</v>
      </c>
      <c r="I1361">
        <v>0</v>
      </c>
      <c r="J1361" t="s">
        <v>652</v>
      </c>
      <c r="K1361" t="s">
        <v>652</v>
      </c>
    </row>
    <row r="1362" spans="1:11" x14ac:dyDescent="0.5">
      <c r="A1362" t="s">
        <v>2769</v>
      </c>
      <c r="B1362" t="s">
        <v>1051</v>
      </c>
      <c r="C1362" t="s">
        <v>2770</v>
      </c>
      <c r="D1362" s="1">
        <v>7.1000000000000004E-3</v>
      </c>
      <c r="E1362">
        <v>17.8</v>
      </c>
      <c r="F1362" t="s">
        <v>651</v>
      </c>
      <c r="G1362" t="s">
        <v>506</v>
      </c>
      <c r="H1362" t="s">
        <v>506</v>
      </c>
      <c r="I1362">
        <v>0</v>
      </c>
      <c r="J1362" t="s">
        <v>652</v>
      </c>
      <c r="K1362" t="s">
        <v>652</v>
      </c>
    </row>
    <row r="1363" spans="1:11" x14ac:dyDescent="0.5">
      <c r="A1363" t="s">
        <v>2771</v>
      </c>
      <c r="B1363" t="s">
        <v>1051</v>
      </c>
      <c r="C1363" t="s">
        <v>2772</v>
      </c>
      <c r="D1363" s="1">
        <v>6.7999999999999996E-3</v>
      </c>
      <c r="E1363">
        <v>17</v>
      </c>
      <c r="F1363" t="s">
        <v>651</v>
      </c>
      <c r="J1363" t="s">
        <v>652</v>
      </c>
      <c r="K1363" t="s">
        <v>652</v>
      </c>
    </row>
    <row r="1364" spans="1:11" x14ac:dyDescent="0.5">
      <c r="A1364" t="s">
        <v>2773</v>
      </c>
      <c r="B1364" t="s">
        <v>1051</v>
      </c>
      <c r="C1364" t="s">
        <v>2774</v>
      </c>
      <c r="D1364" s="1">
        <v>6.1000000000000004E-3</v>
      </c>
      <c r="E1364">
        <v>15.2</v>
      </c>
      <c r="F1364" t="s">
        <v>651</v>
      </c>
      <c r="G1364" t="s">
        <v>506</v>
      </c>
      <c r="H1364" t="s">
        <v>506</v>
      </c>
      <c r="I1364">
        <v>0</v>
      </c>
      <c r="J1364" t="s">
        <v>652</v>
      </c>
      <c r="K1364" t="s">
        <v>652</v>
      </c>
    </row>
    <row r="1365" spans="1:11" x14ac:dyDescent="0.5">
      <c r="A1365" t="s">
        <v>2775</v>
      </c>
      <c r="B1365" t="s">
        <v>1051</v>
      </c>
      <c r="C1365" t="s">
        <v>2776</v>
      </c>
      <c r="D1365" s="1">
        <v>6.0000000000000001E-3</v>
      </c>
      <c r="E1365">
        <v>15</v>
      </c>
      <c r="F1365" t="s">
        <v>651</v>
      </c>
      <c r="J1365" t="s">
        <v>652</v>
      </c>
      <c r="K1365" t="s">
        <v>652</v>
      </c>
    </row>
    <row r="1366" spans="1:11" x14ac:dyDescent="0.5">
      <c r="A1366" t="s">
        <v>2777</v>
      </c>
      <c r="B1366" t="s">
        <v>1051</v>
      </c>
      <c r="C1366" t="s">
        <v>2778</v>
      </c>
      <c r="D1366" s="1">
        <v>5.0000000000000001E-3</v>
      </c>
      <c r="E1366">
        <v>12.5</v>
      </c>
      <c r="F1366" t="s">
        <v>651</v>
      </c>
      <c r="G1366" t="s">
        <v>506</v>
      </c>
      <c r="H1366" t="s">
        <v>506</v>
      </c>
      <c r="I1366">
        <v>2.41</v>
      </c>
      <c r="J1366" t="s">
        <v>652</v>
      </c>
      <c r="K1366" t="s">
        <v>652</v>
      </c>
    </row>
    <row r="1367" spans="1:11" x14ac:dyDescent="0.5">
      <c r="A1367" t="s">
        <v>2779</v>
      </c>
      <c r="B1367" t="s">
        <v>1051</v>
      </c>
      <c r="C1367" t="s">
        <v>2780</v>
      </c>
      <c r="D1367" s="1">
        <v>5.7000000000000002E-3</v>
      </c>
      <c r="E1367">
        <v>14.2</v>
      </c>
      <c r="F1367" t="s">
        <v>651</v>
      </c>
      <c r="J1367" t="s">
        <v>652</v>
      </c>
      <c r="K1367" t="s">
        <v>652</v>
      </c>
    </row>
    <row r="1368" spans="1:11" x14ac:dyDescent="0.5">
      <c r="A1368" t="s">
        <v>2781</v>
      </c>
      <c r="B1368" t="s">
        <v>1051</v>
      </c>
      <c r="C1368" t="s">
        <v>2782</v>
      </c>
      <c r="D1368" s="1">
        <v>4.0000000000000001E-3</v>
      </c>
      <c r="E1368">
        <v>10</v>
      </c>
      <c r="F1368" t="s">
        <v>651</v>
      </c>
      <c r="J1368" t="s">
        <v>652</v>
      </c>
      <c r="K1368" t="s">
        <v>652</v>
      </c>
    </row>
    <row r="1369" spans="1:11" x14ac:dyDescent="0.5">
      <c r="A1369" t="s">
        <v>2783</v>
      </c>
      <c r="B1369" t="s">
        <v>1051</v>
      </c>
      <c r="C1369" t="s">
        <v>2784</v>
      </c>
      <c r="D1369" s="1">
        <v>3.0000000000000001E-3</v>
      </c>
      <c r="E1369">
        <v>7.5</v>
      </c>
      <c r="F1369" t="s">
        <v>651</v>
      </c>
      <c r="J1369" t="s">
        <v>652</v>
      </c>
      <c r="K1369" t="s">
        <v>652</v>
      </c>
    </row>
    <row r="1370" spans="1:11" x14ac:dyDescent="0.5">
      <c r="A1370" t="s">
        <v>2785</v>
      </c>
      <c r="B1370" t="s">
        <v>1051</v>
      </c>
      <c r="C1370" t="s">
        <v>2786</v>
      </c>
      <c r="D1370" s="1">
        <v>1E-3</v>
      </c>
      <c r="E1370">
        <v>2.5</v>
      </c>
      <c r="F1370" t="s">
        <v>651</v>
      </c>
      <c r="J1370" t="s">
        <v>652</v>
      </c>
      <c r="K1370" t="s">
        <v>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B80D-9E67-4176-B85D-F6D1172A4430}">
  <dimension ref="A1:C1370"/>
  <sheetViews>
    <sheetView workbookViewId="0">
      <pane ySplit="1" topLeftCell="A2" activePane="bottomLeft" state="frozen"/>
      <selection pane="bottomLeft" activeCell="B1" sqref="B1"/>
    </sheetView>
  </sheetViews>
  <sheetFormatPr defaultRowHeight="14.35" x14ac:dyDescent="0.5"/>
  <cols>
    <col min="1" max="1" width="9.52734375" bestFit="1" customWidth="1"/>
    <col min="3" max="3" width="8.9375" style="4"/>
  </cols>
  <sheetData>
    <row r="1" spans="1:3" s="2" customFormat="1" x14ac:dyDescent="0.5">
      <c r="A1" s="2" t="s">
        <v>2816</v>
      </c>
      <c r="B1" s="2" t="s">
        <v>0</v>
      </c>
      <c r="C1" s="3" t="s">
        <v>2818</v>
      </c>
    </row>
    <row r="2" spans="1:3" x14ac:dyDescent="0.5">
      <c r="A2" t="s">
        <v>2817</v>
      </c>
      <c r="B2" t="s">
        <v>393</v>
      </c>
      <c r="C2" s="4" t="str">
        <f>IF(ISERROR(_xlfn.XMATCH(B2,oldlist!B:B,0)),"not found","found")</f>
        <v>found</v>
      </c>
    </row>
    <row r="3" spans="1:3" x14ac:dyDescent="0.5">
      <c r="A3" t="s">
        <v>2817</v>
      </c>
      <c r="B3" t="s">
        <v>245</v>
      </c>
      <c r="C3" s="4" t="str">
        <f>IF(ISERROR(_xlfn.XMATCH(B3,oldlist!B:B,0)),"not found","found")</f>
        <v>found</v>
      </c>
    </row>
    <row r="4" spans="1:3" x14ac:dyDescent="0.5">
      <c r="A4" t="s">
        <v>2817</v>
      </c>
      <c r="B4" t="s">
        <v>97</v>
      </c>
      <c r="C4" s="4" t="str">
        <f>IF(ISERROR(_xlfn.XMATCH(B4,oldlist!B:B,0)),"not found","found")</f>
        <v>found</v>
      </c>
    </row>
    <row r="5" spans="1:3" x14ac:dyDescent="0.5">
      <c r="A5" t="s">
        <v>2817</v>
      </c>
      <c r="B5" t="s">
        <v>460</v>
      </c>
      <c r="C5" s="4" t="str">
        <f>IF(ISERROR(_xlfn.XMATCH(B5,oldlist!B:B,0)),"not found","found")</f>
        <v>found</v>
      </c>
    </row>
    <row r="6" spans="1:3" x14ac:dyDescent="0.5">
      <c r="A6" t="s">
        <v>2817</v>
      </c>
      <c r="B6" t="s">
        <v>879</v>
      </c>
      <c r="C6" s="4" t="str">
        <f>IF(ISERROR(_xlfn.XMATCH(B6,oldlist!B:B,0)),"not found","found")</f>
        <v>found</v>
      </c>
    </row>
    <row r="7" spans="1:3" x14ac:dyDescent="0.5">
      <c r="A7" t="s">
        <v>2817</v>
      </c>
      <c r="B7" t="s">
        <v>287</v>
      </c>
      <c r="C7" s="4" t="str">
        <f>IF(ISERROR(_xlfn.XMATCH(B7,oldlist!B:B,0)),"not found","found")</f>
        <v>found</v>
      </c>
    </row>
    <row r="8" spans="1:3" x14ac:dyDescent="0.5">
      <c r="A8" t="s">
        <v>2817</v>
      </c>
      <c r="B8" t="s">
        <v>563</v>
      </c>
      <c r="C8" s="4" t="str">
        <f>IF(ISERROR(_xlfn.XMATCH(B8,oldlist!B:B,0)),"not found","found")</f>
        <v>found</v>
      </c>
    </row>
    <row r="9" spans="1:3" x14ac:dyDescent="0.5">
      <c r="A9" t="s">
        <v>2817</v>
      </c>
      <c r="B9" t="s">
        <v>1036</v>
      </c>
      <c r="C9" s="4" t="str">
        <f>IF(ISERROR(_xlfn.XMATCH(B9,oldlist!B:B,0)),"not found","found")</f>
        <v>found</v>
      </c>
    </row>
    <row r="10" spans="1:3" x14ac:dyDescent="0.5">
      <c r="A10" t="s">
        <v>2817</v>
      </c>
      <c r="B10" t="s">
        <v>749</v>
      </c>
      <c r="C10" s="4" t="str">
        <f>IF(ISERROR(_xlfn.XMATCH(B10,oldlist!B:B,0)),"not found","found")</f>
        <v>found</v>
      </c>
    </row>
    <row r="11" spans="1:3" x14ac:dyDescent="0.5">
      <c r="A11" t="s">
        <v>2817</v>
      </c>
      <c r="B11" t="s">
        <v>233</v>
      </c>
      <c r="C11" s="4" t="str">
        <f>IF(ISERROR(_xlfn.XMATCH(B11,oldlist!B:B,0)),"not found","found")</f>
        <v>found</v>
      </c>
    </row>
    <row r="12" spans="1:3" x14ac:dyDescent="0.5">
      <c r="A12" t="s">
        <v>2817</v>
      </c>
      <c r="B12" t="s">
        <v>267</v>
      </c>
      <c r="C12" s="4" t="str">
        <f>IF(ISERROR(_xlfn.XMATCH(B12,oldlist!B:B,0)),"not found","found")</f>
        <v>found</v>
      </c>
    </row>
    <row r="13" spans="1:3" x14ac:dyDescent="0.5">
      <c r="A13" t="s">
        <v>2817</v>
      </c>
      <c r="B13" t="s">
        <v>624</v>
      </c>
      <c r="C13" s="4" t="str">
        <f>IF(ISERROR(_xlfn.XMATCH(B13,oldlist!B:B,0)),"not found","found")</f>
        <v>found</v>
      </c>
    </row>
    <row r="14" spans="1:3" x14ac:dyDescent="0.5">
      <c r="A14" t="s">
        <v>2817</v>
      </c>
      <c r="B14" t="s">
        <v>206</v>
      </c>
      <c r="C14" s="4" t="str">
        <f>IF(ISERROR(_xlfn.XMATCH(B14,oldlist!B:B,0)),"not found","found")</f>
        <v>found</v>
      </c>
    </row>
    <row r="15" spans="1:3" x14ac:dyDescent="0.5">
      <c r="A15" t="s">
        <v>2817</v>
      </c>
      <c r="B15" t="s">
        <v>163</v>
      </c>
      <c r="C15" s="4" t="str">
        <f>IF(ISERROR(_xlfn.XMATCH(B15,oldlist!B:B,0)),"not found","found")</f>
        <v>found</v>
      </c>
    </row>
    <row r="16" spans="1:3" x14ac:dyDescent="0.5">
      <c r="A16" t="s">
        <v>2817</v>
      </c>
      <c r="B16" t="s">
        <v>971</v>
      </c>
      <c r="C16" s="4" t="str">
        <f>IF(ISERROR(_xlfn.XMATCH(B16,oldlist!B:B,0)),"not found","found")</f>
        <v>found</v>
      </c>
    </row>
    <row r="17" spans="1:3" x14ac:dyDescent="0.5">
      <c r="A17" t="s">
        <v>2817</v>
      </c>
      <c r="B17" t="s">
        <v>239</v>
      </c>
      <c r="C17" s="4" t="str">
        <f>IF(ISERROR(_xlfn.XMATCH(B17,oldlist!B:B,0)),"not found","found")</f>
        <v>found</v>
      </c>
    </row>
    <row r="18" spans="1:3" x14ac:dyDescent="0.5">
      <c r="A18" t="s">
        <v>2817</v>
      </c>
      <c r="B18" t="s">
        <v>169</v>
      </c>
      <c r="C18" s="4" t="str">
        <f>IF(ISERROR(_xlfn.XMATCH(B18,oldlist!B:B,0)),"not found","found")</f>
        <v>found</v>
      </c>
    </row>
    <row r="19" spans="1:3" x14ac:dyDescent="0.5">
      <c r="A19" t="s">
        <v>2817</v>
      </c>
      <c r="B19" t="s">
        <v>175</v>
      </c>
      <c r="C19" s="4" t="str">
        <f>IF(ISERROR(_xlfn.XMATCH(B19,oldlist!B:B,0)),"not found","found")</f>
        <v>found</v>
      </c>
    </row>
    <row r="20" spans="1:3" x14ac:dyDescent="0.5">
      <c r="A20" t="s">
        <v>2817</v>
      </c>
      <c r="B20" t="s">
        <v>419</v>
      </c>
      <c r="C20" s="4" t="str">
        <f>IF(ISERROR(_xlfn.XMATCH(B20,oldlist!B:B,0)),"not found","found")</f>
        <v>found</v>
      </c>
    </row>
    <row r="21" spans="1:3" x14ac:dyDescent="0.5">
      <c r="A21" t="s">
        <v>2817</v>
      </c>
      <c r="B21" t="s">
        <v>409</v>
      </c>
      <c r="C21" s="4" t="str">
        <f>IF(ISERROR(_xlfn.XMATCH(B21,oldlist!B:B,0)),"not found","found")</f>
        <v>found</v>
      </c>
    </row>
    <row r="22" spans="1:3" x14ac:dyDescent="0.5">
      <c r="A22" t="s">
        <v>2817</v>
      </c>
      <c r="B22" t="s">
        <v>547</v>
      </c>
      <c r="C22" s="4" t="str">
        <f>IF(ISERROR(_xlfn.XMATCH(B22,oldlist!B:B,0)),"not found","found")</f>
        <v>found</v>
      </c>
    </row>
    <row r="23" spans="1:3" x14ac:dyDescent="0.5">
      <c r="A23" t="s">
        <v>2817</v>
      </c>
      <c r="B23" t="s">
        <v>484</v>
      </c>
      <c r="C23" s="4" t="str">
        <f>IF(ISERROR(_xlfn.XMATCH(B23,oldlist!B:B,0)),"not found","found")</f>
        <v>found</v>
      </c>
    </row>
    <row r="24" spans="1:3" x14ac:dyDescent="0.5">
      <c r="A24" t="s">
        <v>2817</v>
      </c>
      <c r="B24" t="s">
        <v>190</v>
      </c>
      <c r="C24" s="4" t="str">
        <f>IF(ISERROR(_xlfn.XMATCH(B24,oldlist!B:B,0)),"not found","found")</f>
        <v>found</v>
      </c>
    </row>
    <row r="25" spans="1:3" x14ac:dyDescent="0.5">
      <c r="A25" t="s">
        <v>2817</v>
      </c>
      <c r="B25" t="s">
        <v>923</v>
      </c>
      <c r="C25" s="4" t="str">
        <f>IF(ISERROR(_xlfn.XMATCH(B25,oldlist!B:B,0)),"not found","found")</f>
        <v>found</v>
      </c>
    </row>
    <row r="26" spans="1:3" x14ac:dyDescent="0.5">
      <c r="A26" t="s">
        <v>2817</v>
      </c>
      <c r="B26" t="s">
        <v>20</v>
      </c>
      <c r="C26" s="4" t="str">
        <f>IF(ISERROR(_xlfn.XMATCH(B26,oldlist!B:B,0)),"not found","found")</f>
        <v>found</v>
      </c>
    </row>
    <row r="27" spans="1:3" x14ac:dyDescent="0.5">
      <c r="A27" t="s">
        <v>2817</v>
      </c>
      <c r="B27" t="s">
        <v>941</v>
      </c>
      <c r="C27" s="4" t="str">
        <f>IF(ISERROR(_xlfn.XMATCH(B27,oldlist!B:B,0)),"not found","found")</f>
        <v>found</v>
      </c>
    </row>
    <row r="28" spans="1:3" x14ac:dyDescent="0.5">
      <c r="A28" t="s">
        <v>2817</v>
      </c>
      <c r="B28" t="s">
        <v>26</v>
      </c>
      <c r="C28" s="4" t="str">
        <f>IF(ISERROR(_xlfn.XMATCH(B28,oldlist!B:B,0)),"not found","found")</f>
        <v>found</v>
      </c>
    </row>
    <row r="29" spans="1:3" x14ac:dyDescent="0.5">
      <c r="A29" t="s">
        <v>2817</v>
      </c>
      <c r="B29" t="s">
        <v>277</v>
      </c>
      <c r="C29" s="4" t="str">
        <f>IF(ISERROR(_xlfn.XMATCH(B29,oldlist!B:B,0)),"not found","found")</f>
        <v>found</v>
      </c>
    </row>
    <row r="30" spans="1:3" x14ac:dyDescent="0.5">
      <c r="A30" t="s">
        <v>2817</v>
      </c>
      <c r="B30" t="s">
        <v>143</v>
      </c>
      <c r="C30" s="4" t="str">
        <f>IF(ISERROR(_xlfn.XMATCH(B30,oldlist!B:B,0)),"not found","found")</f>
        <v>found</v>
      </c>
    </row>
    <row r="31" spans="1:3" x14ac:dyDescent="0.5">
      <c r="A31" t="s">
        <v>2817</v>
      </c>
      <c r="B31" t="s">
        <v>325</v>
      </c>
      <c r="C31" s="4" t="str">
        <f>IF(ISERROR(_xlfn.XMATCH(B31,oldlist!B:B,0)),"not found","found")</f>
        <v>found</v>
      </c>
    </row>
    <row r="32" spans="1:3" x14ac:dyDescent="0.5">
      <c r="A32" t="s">
        <v>2817</v>
      </c>
      <c r="B32" t="s">
        <v>827</v>
      </c>
      <c r="C32" s="4" t="str">
        <f>IF(ISERROR(_xlfn.XMATCH(B32,oldlist!B:B,0)),"not found","found")</f>
        <v>found</v>
      </c>
    </row>
    <row r="33" spans="1:3" x14ac:dyDescent="0.5">
      <c r="A33" t="s">
        <v>2817</v>
      </c>
      <c r="B33" t="s">
        <v>854</v>
      </c>
      <c r="C33" s="4" t="str">
        <f>IF(ISERROR(_xlfn.XMATCH(B33,oldlist!B:B,0)),"not found","found")</f>
        <v>found</v>
      </c>
    </row>
    <row r="34" spans="1:3" x14ac:dyDescent="0.5">
      <c r="A34" t="s">
        <v>2817</v>
      </c>
      <c r="B34" t="s">
        <v>65</v>
      </c>
      <c r="C34" s="4" t="str">
        <f>IF(ISERROR(_xlfn.XMATCH(B34,oldlist!B:B,0)),"not found","found")</f>
        <v>found</v>
      </c>
    </row>
    <row r="35" spans="1:3" x14ac:dyDescent="0.5">
      <c r="A35" t="s">
        <v>2817</v>
      </c>
      <c r="B35" t="s">
        <v>387</v>
      </c>
      <c r="C35" s="4" t="str">
        <f>IF(ISERROR(_xlfn.XMATCH(B35,oldlist!B:B,0)),"not found","found")</f>
        <v>found</v>
      </c>
    </row>
    <row r="36" spans="1:3" x14ac:dyDescent="0.5">
      <c r="A36" t="s">
        <v>2817</v>
      </c>
      <c r="B36" t="s">
        <v>583</v>
      </c>
      <c r="C36" s="4" t="str">
        <f>IF(ISERROR(_xlfn.XMATCH(B36,oldlist!B:B,0)),"not found","found")</f>
        <v>found</v>
      </c>
    </row>
    <row r="37" spans="1:3" x14ac:dyDescent="0.5">
      <c r="A37" t="s">
        <v>2817</v>
      </c>
      <c r="B37" t="s">
        <v>85</v>
      </c>
      <c r="C37" s="4" t="str">
        <f>IF(ISERROR(_xlfn.XMATCH(B37,oldlist!B:B,0)),"not found","found")</f>
        <v>found</v>
      </c>
    </row>
    <row r="38" spans="1:3" x14ac:dyDescent="0.5">
      <c r="A38" t="s">
        <v>2817</v>
      </c>
      <c r="B38" t="s">
        <v>367</v>
      </c>
      <c r="C38" s="4" t="str">
        <f>IF(ISERROR(_xlfn.XMATCH(B38,oldlist!B:B,0)),"not found","found")</f>
        <v>found</v>
      </c>
    </row>
    <row r="39" spans="1:3" x14ac:dyDescent="0.5">
      <c r="A39" t="s">
        <v>2817</v>
      </c>
      <c r="B39" t="s">
        <v>111</v>
      </c>
      <c r="C39" s="4" t="str">
        <f>IF(ISERROR(_xlfn.XMATCH(B39,oldlist!B:B,0)),"not found","found")</f>
        <v>found</v>
      </c>
    </row>
    <row r="40" spans="1:3" x14ac:dyDescent="0.5">
      <c r="A40" t="s">
        <v>2817</v>
      </c>
      <c r="B40" t="s">
        <v>846</v>
      </c>
      <c r="C40" s="4" t="str">
        <f>IF(ISERROR(_xlfn.XMATCH(B40,oldlist!B:B,0)),"not found","found")</f>
        <v>found</v>
      </c>
    </row>
    <row r="41" spans="1:3" x14ac:dyDescent="0.5">
      <c r="A41" t="s">
        <v>2817</v>
      </c>
      <c r="B41" t="s">
        <v>251</v>
      </c>
      <c r="C41" s="4" t="str">
        <f>IF(ISERROR(_xlfn.XMATCH(B41,oldlist!B:B,0)),"not found","found")</f>
        <v>found</v>
      </c>
    </row>
    <row r="42" spans="1:3" x14ac:dyDescent="0.5">
      <c r="A42" t="s">
        <v>2817</v>
      </c>
      <c r="B42" t="s">
        <v>647</v>
      </c>
      <c r="C42" s="4" t="str">
        <f>IF(ISERROR(_xlfn.XMATCH(B42,oldlist!B:B,0)),"not found","found")</f>
        <v>found</v>
      </c>
    </row>
    <row r="43" spans="1:3" x14ac:dyDescent="0.5">
      <c r="A43" t="s">
        <v>2817</v>
      </c>
      <c r="B43" t="s">
        <v>951</v>
      </c>
      <c r="C43" s="4" t="str">
        <f>IF(ISERROR(_xlfn.XMATCH(B43,oldlist!B:B,0)),"not found","found")</f>
        <v>found</v>
      </c>
    </row>
    <row r="44" spans="1:3" x14ac:dyDescent="0.5">
      <c r="A44" t="s">
        <v>2817</v>
      </c>
      <c r="B44" t="s">
        <v>883</v>
      </c>
      <c r="C44" s="4" t="str">
        <f>IF(ISERROR(_xlfn.XMATCH(B44,oldlist!B:B,0)),"not found","found")</f>
        <v>found</v>
      </c>
    </row>
    <row r="45" spans="1:3" x14ac:dyDescent="0.5">
      <c r="A45" t="s">
        <v>2817</v>
      </c>
      <c r="B45" t="s">
        <v>881</v>
      </c>
      <c r="C45" s="4" t="str">
        <f>IF(ISERROR(_xlfn.XMATCH(B45,oldlist!B:B,0)),"not found","found")</f>
        <v>found</v>
      </c>
    </row>
    <row r="46" spans="1:3" x14ac:dyDescent="0.5">
      <c r="A46" t="s">
        <v>2817</v>
      </c>
      <c r="B46" t="s">
        <v>417</v>
      </c>
      <c r="C46" s="4" t="str">
        <f>IF(ISERROR(_xlfn.XMATCH(B46,oldlist!B:B,0)),"not found","found")</f>
        <v>found</v>
      </c>
    </row>
    <row r="47" spans="1:3" x14ac:dyDescent="0.5">
      <c r="A47" t="s">
        <v>2817</v>
      </c>
      <c r="B47" t="s">
        <v>194</v>
      </c>
      <c r="C47" s="4" t="str">
        <f>IF(ISERROR(_xlfn.XMATCH(B47,oldlist!B:B,0)),"not found","found")</f>
        <v>found</v>
      </c>
    </row>
    <row r="48" spans="1:3" x14ac:dyDescent="0.5">
      <c r="A48" t="s">
        <v>2817</v>
      </c>
      <c r="B48" t="s">
        <v>555</v>
      </c>
      <c r="C48" s="4" t="str">
        <f>IF(ISERROR(_xlfn.XMATCH(B48,oldlist!B:B,0)),"not found","found")</f>
        <v>found</v>
      </c>
    </row>
    <row r="49" spans="1:3" x14ac:dyDescent="0.5">
      <c r="A49" t="s">
        <v>2817</v>
      </c>
      <c r="B49" t="s">
        <v>289</v>
      </c>
      <c r="C49" s="4" t="str">
        <f>IF(ISERROR(_xlfn.XMATCH(B49,oldlist!B:B,0)),"not found","found")</f>
        <v>found</v>
      </c>
    </row>
    <row r="50" spans="1:3" x14ac:dyDescent="0.5">
      <c r="A50" t="s">
        <v>2817</v>
      </c>
      <c r="B50" t="s">
        <v>285</v>
      </c>
      <c r="C50" s="4" t="str">
        <f>IF(ISERROR(_xlfn.XMATCH(B50,oldlist!B:B,0)),"not found","found")</f>
        <v>found</v>
      </c>
    </row>
    <row r="51" spans="1:3" x14ac:dyDescent="0.5">
      <c r="A51" t="s">
        <v>2817</v>
      </c>
      <c r="B51" t="s">
        <v>911</v>
      </c>
      <c r="C51" s="4" t="str">
        <f>IF(ISERROR(_xlfn.XMATCH(B51,oldlist!B:B,0)),"not found","found")</f>
        <v>found</v>
      </c>
    </row>
    <row r="52" spans="1:3" x14ac:dyDescent="0.5">
      <c r="A52" t="s">
        <v>2817</v>
      </c>
      <c r="B52" t="s">
        <v>959</v>
      </c>
      <c r="C52" s="4" t="str">
        <f>IF(ISERROR(_xlfn.XMATCH(B52,oldlist!B:B,0)),"not found","found")</f>
        <v>found</v>
      </c>
    </row>
    <row r="53" spans="1:3" x14ac:dyDescent="0.5">
      <c r="A53" t="s">
        <v>2817</v>
      </c>
      <c r="B53" t="s">
        <v>616</v>
      </c>
      <c r="C53" s="4" t="str">
        <f>IF(ISERROR(_xlfn.XMATCH(B53,oldlist!B:B,0)),"not found","found")</f>
        <v>found</v>
      </c>
    </row>
    <row r="54" spans="1:3" x14ac:dyDescent="0.5">
      <c r="A54" t="s">
        <v>2817</v>
      </c>
      <c r="B54" t="s">
        <v>93</v>
      </c>
      <c r="C54" s="4" t="str">
        <f>IF(ISERROR(_xlfn.XMATCH(B54,oldlist!B:B,0)),"not found","found")</f>
        <v>found</v>
      </c>
    </row>
    <row r="55" spans="1:3" x14ac:dyDescent="0.5">
      <c r="A55" t="s">
        <v>2817</v>
      </c>
      <c r="B55" t="s">
        <v>399</v>
      </c>
      <c r="C55" s="4" t="str">
        <f>IF(ISERROR(_xlfn.XMATCH(B55,oldlist!B:B,0)),"not found","found")</f>
        <v>found</v>
      </c>
    </row>
    <row r="56" spans="1:3" x14ac:dyDescent="0.5">
      <c r="A56" t="s">
        <v>2817</v>
      </c>
      <c r="B56" t="s">
        <v>466</v>
      </c>
      <c r="C56" s="4" t="str">
        <f>IF(ISERROR(_xlfn.XMATCH(B56,oldlist!B:B,0)),"not found","found")</f>
        <v>found</v>
      </c>
    </row>
    <row r="57" spans="1:3" x14ac:dyDescent="0.5">
      <c r="A57" t="s">
        <v>2817</v>
      </c>
      <c r="B57" t="s">
        <v>200</v>
      </c>
      <c r="C57" s="4" t="str">
        <f>IF(ISERROR(_xlfn.XMATCH(B57,oldlist!B:B,0)),"not found","found")</f>
        <v>found</v>
      </c>
    </row>
    <row r="58" spans="1:3" x14ac:dyDescent="0.5">
      <c r="A58" t="s">
        <v>2817</v>
      </c>
      <c r="B58" t="s">
        <v>335</v>
      </c>
      <c r="C58" s="4" t="str">
        <f>IF(ISERROR(_xlfn.XMATCH(B58,oldlist!B:B,0)),"not found","found")</f>
        <v>found</v>
      </c>
    </row>
    <row r="59" spans="1:3" x14ac:dyDescent="0.5">
      <c r="A59" t="s">
        <v>2817</v>
      </c>
      <c r="B59" t="s">
        <v>737</v>
      </c>
      <c r="C59" s="4" t="str">
        <f>IF(ISERROR(_xlfn.XMATCH(B59,oldlist!B:B,0)),"not found","found")</f>
        <v>found</v>
      </c>
    </row>
    <row r="60" spans="1:3" x14ac:dyDescent="0.5">
      <c r="A60" t="s">
        <v>2817</v>
      </c>
      <c r="B60" t="s">
        <v>571</v>
      </c>
      <c r="C60" s="4" t="str">
        <f>IF(ISERROR(_xlfn.XMATCH(B60,oldlist!B:B,0)),"not found","found")</f>
        <v>found</v>
      </c>
    </row>
    <row r="61" spans="1:3" x14ac:dyDescent="0.5">
      <c r="A61" t="s">
        <v>2817</v>
      </c>
      <c r="B61" t="s">
        <v>496</v>
      </c>
      <c r="C61" s="4" t="str">
        <f>IF(ISERROR(_xlfn.XMATCH(B61,oldlist!B:B,0)),"not found","found")</f>
        <v>found</v>
      </c>
    </row>
    <row r="62" spans="1:3" x14ac:dyDescent="0.5">
      <c r="A62" t="s">
        <v>2817</v>
      </c>
      <c r="B62" t="s">
        <v>777</v>
      </c>
      <c r="C62" s="4" t="str">
        <f>IF(ISERROR(_xlfn.XMATCH(B62,oldlist!B:B,0)),"not found","found")</f>
        <v>found</v>
      </c>
    </row>
    <row r="63" spans="1:3" x14ac:dyDescent="0.5">
      <c r="A63" t="s">
        <v>2817</v>
      </c>
      <c r="B63" t="s">
        <v>969</v>
      </c>
      <c r="C63" s="4" t="str">
        <f>IF(ISERROR(_xlfn.XMATCH(B63,oldlist!B:B,0)),"not found","found")</f>
        <v>found</v>
      </c>
    </row>
    <row r="64" spans="1:3" x14ac:dyDescent="0.5">
      <c r="A64" t="s">
        <v>2817</v>
      </c>
      <c r="B64" t="s">
        <v>793</v>
      </c>
      <c r="C64" s="4" t="str">
        <f>IF(ISERROR(_xlfn.XMATCH(B64,oldlist!B:B,0)),"not found","found")</f>
        <v>found</v>
      </c>
    </row>
    <row r="65" spans="1:3" x14ac:dyDescent="0.5">
      <c r="A65" t="s">
        <v>2817</v>
      </c>
      <c r="B65" t="s">
        <v>632</v>
      </c>
      <c r="C65" s="4" t="str">
        <f>IF(ISERROR(_xlfn.XMATCH(B65,oldlist!B:B,0)),"not found","found")</f>
        <v>found</v>
      </c>
    </row>
    <row r="66" spans="1:3" x14ac:dyDescent="0.5">
      <c r="A66" t="s">
        <v>2817</v>
      </c>
      <c r="B66" t="s">
        <v>903</v>
      </c>
      <c r="C66" s="4" t="str">
        <f>IF(ISERROR(_xlfn.XMATCH(B66,oldlist!B:B,0)),"not found","found")</f>
        <v>found</v>
      </c>
    </row>
    <row r="67" spans="1:3" x14ac:dyDescent="0.5">
      <c r="A67" t="s">
        <v>2817</v>
      </c>
      <c r="B67" t="s">
        <v>159</v>
      </c>
      <c r="C67" s="4" t="str">
        <f>IF(ISERROR(_xlfn.XMATCH(B67,oldlist!B:B,0)),"not found","found")</f>
        <v>found</v>
      </c>
    </row>
    <row r="68" spans="1:3" x14ac:dyDescent="0.5">
      <c r="A68" t="s">
        <v>2817</v>
      </c>
      <c r="B68" t="s">
        <v>913</v>
      </c>
      <c r="C68" s="4" t="str">
        <f>IF(ISERROR(_xlfn.XMATCH(B68,oldlist!B:B,0)),"not found","found")</f>
        <v>not found</v>
      </c>
    </row>
    <row r="69" spans="1:3" x14ac:dyDescent="0.5">
      <c r="A69" t="s">
        <v>2817</v>
      </c>
      <c r="B69" t="s">
        <v>531</v>
      </c>
      <c r="C69" s="4" t="str">
        <f>IF(ISERROR(_xlfn.XMATCH(B69,oldlist!B:B,0)),"not found","found")</f>
        <v>found</v>
      </c>
    </row>
    <row r="70" spans="1:3" x14ac:dyDescent="0.5">
      <c r="A70" t="s">
        <v>2817</v>
      </c>
      <c r="B70" t="s">
        <v>781</v>
      </c>
      <c r="C70" s="4" t="str">
        <f>IF(ISERROR(_xlfn.XMATCH(B70,oldlist!B:B,0)),"not found","found")</f>
        <v>found</v>
      </c>
    </row>
    <row r="71" spans="1:3" x14ac:dyDescent="0.5">
      <c r="A71" t="s">
        <v>2817</v>
      </c>
      <c r="B71" t="s">
        <v>1034</v>
      </c>
      <c r="C71" s="4" t="str">
        <f>IF(ISERROR(_xlfn.XMATCH(B71,oldlist!B:B,0)),"not found","found")</f>
        <v>found</v>
      </c>
    </row>
    <row r="72" spans="1:3" x14ac:dyDescent="0.5">
      <c r="A72" t="s">
        <v>2817</v>
      </c>
      <c r="B72" t="s">
        <v>626</v>
      </c>
      <c r="C72" s="4" t="str">
        <f>IF(ISERROR(_xlfn.XMATCH(B72,oldlist!B:B,0)),"not found","found")</f>
        <v>found</v>
      </c>
    </row>
    <row r="73" spans="1:3" x14ac:dyDescent="0.5">
      <c r="A73" t="s">
        <v>2817</v>
      </c>
      <c r="B73" t="s">
        <v>212</v>
      </c>
      <c r="C73" s="4" t="str">
        <f>IF(ISERROR(_xlfn.XMATCH(B73,oldlist!B:B,0)),"not found","found")</f>
        <v>found</v>
      </c>
    </row>
    <row r="74" spans="1:3" x14ac:dyDescent="0.5">
      <c r="A74" t="s">
        <v>2817</v>
      </c>
      <c r="B74" t="s">
        <v>249</v>
      </c>
      <c r="C74" s="4" t="str">
        <f>IF(ISERROR(_xlfn.XMATCH(B74,oldlist!B:B,0)),"not found","found")</f>
        <v>found</v>
      </c>
    </row>
    <row r="75" spans="1:3" x14ac:dyDescent="0.5">
      <c r="A75" t="s">
        <v>2817</v>
      </c>
      <c r="B75" t="s">
        <v>663</v>
      </c>
      <c r="C75" s="4" t="str">
        <f>IF(ISERROR(_xlfn.XMATCH(B75,oldlist!B:B,0)),"not found","found")</f>
        <v>found</v>
      </c>
    </row>
    <row r="76" spans="1:3" x14ac:dyDescent="0.5">
      <c r="A76" t="s">
        <v>2817</v>
      </c>
      <c r="B76" t="s">
        <v>998</v>
      </c>
      <c r="C76" s="4" t="str">
        <f>IF(ISERROR(_xlfn.XMATCH(B76,oldlist!B:B,0)),"not found","found")</f>
        <v>found</v>
      </c>
    </row>
    <row r="77" spans="1:3" x14ac:dyDescent="0.5">
      <c r="A77" t="s">
        <v>2817</v>
      </c>
      <c r="B77" t="s">
        <v>681</v>
      </c>
      <c r="C77" s="4" t="str">
        <f>IF(ISERROR(_xlfn.XMATCH(B77,oldlist!B:B,0)),"not found","found")</f>
        <v>found</v>
      </c>
    </row>
    <row r="78" spans="1:3" x14ac:dyDescent="0.5">
      <c r="A78" t="s">
        <v>2817</v>
      </c>
      <c r="B78" t="s">
        <v>848</v>
      </c>
      <c r="C78" s="4" t="str">
        <f>IF(ISERROR(_xlfn.XMATCH(B78,oldlist!B:B,0)),"not found","found")</f>
        <v>found</v>
      </c>
    </row>
    <row r="79" spans="1:3" x14ac:dyDescent="0.5">
      <c r="A79" t="s">
        <v>2817</v>
      </c>
      <c r="B79" t="s">
        <v>69</v>
      </c>
      <c r="C79" s="4" t="str">
        <f>IF(ISERROR(_xlfn.XMATCH(B79,oldlist!B:B,0)),"not found","found")</f>
        <v>found</v>
      </c>
    </row>
    <row r="80" spans="1:3" x14ac:dyDescent="0.5">
      <c r="A80" t="s">
        <v>2817</v>
      </c>
      <c r="B80" t="s">
        <v>71</v>
      </c>
      <c r="C80" s="4" t="str">
        <f>IF(ISERROR(_xlfn.XMATCH(B80,oldlist!B:B,0)),"not found","found")</f>
        <v>found</v>
      </c>
    </row>
    <row r="81" spans="1:3" x14ac:dyDescent="0.5">
      <c r="A81" t="s">
        <v>2817</v>
      </c>
      <c r="B81" t="s">
        <v>265</v>
      </c>
      <c r="C81" s="4" t="str">
        <f>IF(ISERROR(_xlfn.XMATCH(B81,oldlist!B:B,0)),"not found","found")</f>
        <v>found</v>
      </c>
    </row>
    <row r="82" spans="1:3" x14ac:dyDescent="0.5">
      <c r="A82" t="s">
        <v>2817</v>
      </c>
      <c r="B82" t="s">
        <v>513</v>
      </c>
      <c r="C82" s="4" t="str">
        <f>IF(ISERROR(_xlfn.XMATCH(B82,oldlist!B:B,0)),"not found","found")</f>
        <v>found</v>
      </c>
    </row>
    <row r="83" spans="1:3" x14ac:dyDescent="0.5">
      <c r="A83" t="s">
        <v>2817</v>
      </c>
      <c r="B83" t="s">
        <v>965</v>
      </c>
      <c r="C83" s="4" t="str">
        <f>IF(ISERROR(_xlfn.XMATCH(B83,oldlist!B:B,0)),"not found","found")</f>
        <v>found</v>
      </c>
    </row>
    <row r="84" spans="1:3" x14ac:dyDescent="0.5">
      <c r="A84" t="s">
        <v>2817</v>
      </c>
      <c r="B84" t="s">
        <v>565</v>
      </c>
      <c r="C84" s="4" t="str">
        <f>IF(ISERROR(_xlfn.XMATCH(B84,oldlist!B:B,0)),"not found","found")</f>
        <v>found</v>
      </c>
    </row>
    <row r="85" spans="1:3" x14ac:dyDescent="0.5">
      <c r="A85" t="s">
        <v>2817</v>
      </c>
      <c r="B85" t="s">
        <v>891</v>
      </c>
      <c r="C85" s="4" t="str">
        <f>IF(ISERROR(_xlfn.XMATCH(B85,oldlist!B:B,0)),"not found","found")</f>
        <v>found</v>
      </c>
    </row>
    <row r="86" spans="1:3" x14ac:dyDescent="0.5">
      <c r="A86" t="s">
        <v>2817</v>
      </c>
      <c r="B86" t="s">
        <v>953</v>
      </c>
      <c r="C86" s="4" t="str">
        <f>IF(ISERROR(_xlfn.XMATCH(B86,oldlist!B:B,0)),"not found","found")</f>
        <v>found</v>
      </c>
    </row>
    <row r="87" spans="1:3" x14ac:dyDescent="0.5">
      <c r="A87" t="s">
        <v>2817</v>
      </c>
      <c r="B87" t="s">
        <v>949</v>
      </c>
      <c r="C87" s="4" t="str">
        <f>IF(ISERROR(_xlfn.XMATCH(B87,oldlist!B:B,0)),"not found","found")</f>
        <v>found</v>
      </c>
    </row>
    <row r="88" spans="1:3" x14ac:dyDescent="0.5">
      <c r="A88" t="s">
        <v>2817</v>
      </c>
      <c r="B88" t="s">
        <v>931</v>
      </c>
      <c r="C88" s="4" t="str">
        <f>IF(ISERROR(_xlfn.XMATCH(B88,oldlist!B:B,0)),"not found","found")</f>
        <v>found</v>
      </c>
    </row>
    <row r="89" spans="1:3" x14ac:dyDescent="0.5">
      <c r="A89" t="s">
        <v>2817</v>
      </c>
      <c r="B89" t="s">
        <v>307</v>
      </c>
      <c r="C89" s="4" t="str">
        <f>IF(ISERROR(_xlfn.XMATCH(B89,oldlist!B:B,0)),"not found","found")</f>
        <v>found</v>
      </c>
    </row>
    <row r="90" spans="1:3" x14ac:dyDescent="0.5">
      <c r="A90" t="s">
        <v>2817</v>
      </c>
      <c r="B90" t="s">
        <v>61</v>
      </c>
      <c r="C90" s="4" t="str">
        <f>IF(ISERROR(_xlfn.XMATCH(B90,oldlist!B:B,0)),"not found","found")</f>
        <v>found</v>
      </c>
    </row>
    <row r="91" spans="1:3" x14ac:dyDescent="0.5">
      <c r="A91" t="s">
        <v>2817</v>
      </c>
      <c r="B91" t="s">
        <v>445</v>
      </c>
      <c r="C91" s="4" t="str">
        <f>IF(ISERROR(_xlfn.XMATCH(B91,oldlist!B:B,0)),"not found","found")</f>
        <v>found</v>
      </c>
    </row>
    <row r="92" spans="1:3" x14ac:dyDescent="0.5">
      <c r="A92" t="s">
        <v>2817</v>
      </c>
      <c r="B92" t="s">
        <v>301</v>
      </c>
      <c r="C92" s="4" t="str">
        <f>IF(ISERROR(_xlfn.XMATCH(B92,oldlist!B:B,0)),"not found","found")</f>
        <v>found</v>
      </c>
    </row>
    <row r="93" spans="1:3" x14ac:dyDescent="0.5">
      <c r="A93" t="s">
        <v>2817</v>
      </c>
      <c r="B93" t="s">
        <v>508</v>
      </c>
      <c r="C93" s="4" t="str">
        <f>IF(ISERROR(_xlfn.XMATCH(B93,oldlist!B:B,0)),"not found","found")</f>
        <v>found</v>
      </c>
    </row>
    <row r="94" spans="1:3" x14ac:dyDescent="0.5">
      <c r="A94" t="s">
        <v>2817</v>
      </c>
      <c r="B94" t="s">
        <v>519</v>
      </c>
      <c r="C94" s="4" t="str">
        <f>IF(ISERROR(_xlfn.XMATCH(B94,oldlist!B:B,0)),"not found","found")</f>
        <v>found</v>
      </c>
    </row>
    <row r="95" spans="1:3" x14ac:dyDescent="0.5">
      <c r="A95" t="s">
        <v>2817</v>
      </c>
      <c r="B95" t="s">
        <v>657</v>
      </c>
      <c r="C95" s="4" t="str">
        <f>IF(ISERROR(_xlfn.XMATCH(B95,oldlist!B:B,0)),"not found","found")</f>
        <v>found</v>
      </c>
    </row>
    <row r="96" spans="1:3" x14ac:dyDescent="0.5">
      <c r="A96" t="s">
        <v>2817</v>
      </c>
      <c r="B96" t="s">
        <v>703</v>
      </c>
      <c r="C96" s="4" t="str">
        <f>IF(ISERROR(_xlfn.XMATCH(B96,oldlist!B:B,0)),"not found","found")</f>
        <v>found</v>
      </c>
    </row>
    <row r="97" spans="1:3" x14ac:dyDescent="0.5">
      <c r="A97" t="s">
        <v>2817</v>
      </c>
      <c r="B97" t="s">
        <v>799</v>
      </c>
      <c r="C97" s="4" t="str">
        <f>IF(ISERROR(_xlfn.XMATCH(B97,oldlist!B:B,0)),"not found","found")</f>
        <v>found</v>
      </c>
    </row>
    <row r="98" spans="1:3" x14ac:dyDescent="0.5">
      <c r="A98" t="s">
        <v>2817</v>
      </c>
      <c r="B98" t="s">
        <v>577</v>
      </c>
      <c r="C98" s="4" t="str">
        <f>IF(ISERROR(_xlfn.XMATCH(B98,oldlist!B:B,0)),"not found","found")</f>
        <v>found</v>
      </c>
    </row>
    <row r="99" spans="1:3" x14ac:dyDescent="0.5">
      <c r="A99" t="s">
        <v>2817</v>
      </c>
      <c r="B99" t="s">
        <v>559</v>
      </c>
      <c r="C99" s="4" t="str">
        <f>IF(ISERROR(_xlfn.XMATCH(B99,oldlist!B:B,0)),"not found","found")</f>
        <v>found</v>
      </c>
    </row>
    <row r="100" spans="1:3" x14ac:dyDescent="0.5">
      <c r="A100" t="s">
        <v>2817</v>
      </c>
      <c r="B100" t="s">
        <v>498</v>
      </c>
      <c r="C100" s="4" t="str">
        <f>IF(ISERROR(_xlfn.XMATCH(B100,oldlist!B:B,0)),"not found","found")</f>
        <v>found</v>
      </c>
    </row>
    <row r="101" spans="1:3" x14ac:dyDescent="0.5">
      <c r="A101" t="s">
        <v>2817</v>
      </c>
      <c r="B101" t="s">
        <v>992</v>
      </c>
      <c r="C101" s="4" t="str">
        <f>IF(ISERROR(_xlfn.XMATCH(B101,oldlist!B:B,0)),"not found","found")</f>
        <v>found</v>
      </c>
    </row>
    <row r="102" spans="1:3" x14ac:dyDescent="0.5">
      <c r="A102" t="s">
        <v>2817</v>
      </c>
      <c r="B102" t="s">
        <v>697</v>
      </c>
      <c r="C102" s="4" t="str">
        <f>IF(ISERROR(_xlfn.XMATCH(B102,oldlist!B:B,0)),"not found","found")</f>
        <v>found</v>
      </c>
    </row>
    <row r="103" spans="1:3" x14ac:dyDescent="0.5">
      <c r="A103" t="s">
        <v>2817</v>
      </c>
      <c r="B103" t="s">
        <v>218</v>
      </c>
      <c r="C103" s="4" t="str">
        <f>IF(ISERROR(_xlfn.XMATCH(B103,oldlist!B:B,0)),"not found","found")</f>
        <v>found</v>
      </c>
    </row>
    <row r="104" spans="1:3" x14ac:dyDescent="0.5">
      <c r="A104" t="s">
        <v>2817</v>
      </c>
      <c r="B104" t="s">
        <v>431</v>
      </c>
      <c r="C104" s="4" t="str">
        <f>IF(ISERROR(_xlfn.XMATCH(B104,oldlist!B:B,0)),"not found","found")</f>
        <v>found</v>
      </c>
    </row>
    <row r="105" spans="1:3" x14ac:dyDescent="0.5">
      <c r="A105" t="s">
        <v>2817</v>
      </c>
      <c r="B105" t="s">
        <v>717</v>
      </c>
      <c r="C105" s="4" t="str">
        <f>IF(ISERROR(_xlfn.XMATCH(B105,oldlist!B:B,0)),"not found","found")</f>
        <v>found</v>
      </c>
    </row>
    <row r="106" spans="1:3" x14ac:dyDescent="0.5">
      <c r="A106" t="s">
        <v>2817</v>
      </c>
      <c r="B106" t="s">
        <v>803</v>
      </c>
      <c r="C106" s="4" t="str">
        <f>IF(ISERROR(_xlfn.XMATCH(B106,oldlist!B:B,0)),"not found","found")</f>
        <v>found</v>
      </c>
    </row>
    <row r="107" spans="1:3" x14ac:dyDescent="0.5">
      <c r="A107" t="s">
        <v>2817</v>
      </c>
      <c r="B107" t="s">
        <v>30</v>
      </c>
      <c r="C107" s="4" t="str">
        <f>IF(ISERROR(_xlfn.XMATCH(B107,oldlist!B:B,0)),"not found","found")</f>
        <v>found</v>
      </c>
    </row>
    <row r="108" spans="1:3" x14ac:dyDescent="0.5">
      <c r="A108" t="s">
        <v>2817</v>
      </c>
      <c r="B108" t="s">
        <v>504</v>
      </c>
      <c r="C108" s="4" t="str">
        <f>IF(ISERROR(_xlfn.XMATCH(B108,oldlist!B:B,0)),"not found","found")</f>
        <v>found</v>
      </c>
    </row>
    <row r="109" spans="1:3" x14ac:dyDescent="0.5">
      <c r="A109" t="s">
        <v>2817</v>
      </c>
      <c r="B109" t="s">
        <v>480</v>
      </c>
      <c r="C109" s="4" t="str">
        <f>IF(ISERROR(_xlfn.XMATCH(B109,oldlist!B:B,0)),"not found","found")</f>
        <v>found</v>
      </c>
    </row>
    <row r="110" spans="1:3" x14ac:dyDescent="0.5">
      <c r="A110" t="s">
        <v>2817</v>
      </c>
      <c r="B110" t="s">
        <v>727</v>
      </c>
      <c r="C110" s="4" t="str">
        <f>IF(ISERROR(_xlfn.XMATCH(B110,oldlist!B:B,0)),"not found","found")</f>
        <v>found</v>
      </c>
    </row>
    <row r="111" spans="1:3" x14ac:dyDescent="0.5">
      <c r="A111" t="s">
        <v>2817</v>
      </c>
      <c r="B111" t="s">
        <v>935</v>
      </c>
      <c r="C111" s="4" t="str">
        <f>IF(ISERROR(_xlfn.XMATCH(B111,oldlist!B:B,0)),"not found","found")</f>
        <v>found</v>
      </c>
    </row>
    <row r="112" spans="1:3" x14ac:dyDescent="0.5">
      <c r="A112" t="s">
        <v>2817</v>
      </c>
      <c r="B112" t="s">
        <v>581</v>
      </c>
      <c r="C112" s="4" t="str">
        <f>IF(ISERROR(_xlfn.XMATCH(B112,oldlist!B:B,0)),"not found","found")</f>
        <v>found</v>
      </c>
    </row>
    <row r="113" spans="1:3" x14ac:dyDescent="0.5">
      <c r="A113" t="s">
        <v>2817</v>
      </c>
      <c r="B113" t="s">
        <v>765</v>
      </c>
      <c r="C113" s="4" t="str">
        <f>IF(ISERROR(_xlfn.XMATCH(B113,oldlist!B:B,0)),"not found","found")</f>
        <v>found</v>
      </c>
    </row>
    <row r="114" spans="1:3" x14ac:dyDescent="0.5">
      <c r="A114" t="s">
        <v>2817</v>
      </c>
      <c r="B114" t="s">
        <v>429</v>
      </c>
      <c r="C114" s="4" t="str">
        <f>IF(ISERROR(_xlfn.XMATCH(B114,oldlist!B:B,0)),"not found","found")</f>
        <v>found</v>
      </c>
    </row>
    <row r="115" spans="1:3" x14ac:dyDescent="0.5">
      <c r="A115" t="s">
        <v>2817</v>
      </c>
      <c r="B115" t="s">
        <v>639</v>
      </c>
      <c r="C115" s="4" t="str">
        <f>IF(ISERROR(_xlfn.XMATCH(B115,oldlist!B:B,0)),"not found","found")</f>
        <v>found</v>
      </c>
    </row>
    <row r="116" spans="1:3" x14ac:dyDescent="0.5">
      <c r="A116" t="s">
        <v>2817</v>
      </c>
      <c r="B116" t="s">
        <v>275</v>
      </c>
      <c r="C116" s="4" t="str">
        <f>IF(ISERROR(_xlfn.XMATCH(B116,oldlist!B:B,0)),"not found","found")</f>
        <v>found</v>
      </c>
    </row>
    <row r="117" spans="1:3" x14ac:dyDescent="0.5">
      <c r="A117" t="s">
        <v>2817</v>
      </c>
      <c r="B117" t="s">
        <v>539</v>
      </c>
      <c r="C117" s="4" t="str">
        <f>IF(ISERROR(_xlfn.XMATCH(B117,oldlist!B:B,0)),"not found","found")</f>
        <v>found</v>
      </c>
    </row>
    <row r="118" spans="1:3" x14ac:dyDescent="0.5">
      <c r="A118" t="s">
        <v>2817</v>
      </c>
      <c r="B118" t="s">
        <v>383</v>
      </c>
      <c r="C118" s="4" t="str">
        <f>IF(ISERROR(_xlfn.XMATCH(B118,oldlist!B:B,0)),"not found","found")</f>
        <v>found</v>
      </c>
    </row>
    <row r="119" spans="1:3" x14ac:dyDescent="0.5">
      <c r="A119" t="s">
        <v>2817</v>
      </c>
      <c r="B119" t="s">
        <v>973</v>
      </c>
      <c r="C119" s="4" t="str">
        <f>IF(ISERROR(_xlfn.XMATCH(B119,oldlist!B:B,0)),"not found","found")</f>
        <v>found</v>
      </c>
    </row>
    <row r="120" spans="1:3" x14ac:dyDescent="0.5">
      <c r="A120" t="s">
        <v>2817</v>
      </c>
      <c r="B120" t="s">
        <v>695</v>
      </c>
      <c r="C120" s="4" t="str">
        <f>IF(ISERROR(_xlfn.XMATCH(B120,oldlist!B:B,0)),"not found","found")</f>
        <v>found</v>
      </c>
    </row>
    <row r="121" spans="1:3" x14ac:dyDescent="0.5">
      <c r="A121" t="s">
        <v>2817</v>
      </c>
      <c r="B121" t="s">
        <v>147</v>
      </c>
      <c r="C121" s="4" t="str">
        <f>IF(ISERROR(_xlfn.XMATCH(B121,oldlist!B:B,0)),"not found","found")</f>
        <v>found</v>
      </c>
    </row>
    <row r="122" spans="1:3" x14ac:dyDescent="0.5">
      <c r="A122" t="s">
        <v>2817</v>
      </c>
      <c r="B122" t="s">
        <v>595</v>
      </c>
      <c r="C122" s="4" t="str">
        <f>IF(ISERROR(_xlfn.XMATCH(B122,oldlist!B:B,0)),"not found","found")</f>
        <v>found</v>
      </c>
    </row>
    <row r="123" spans="1:3" x14ac:dyDescent="0.5">
      <c r="A123" t="s">
        <v>2817</v>
      </c>
      <c r="B123" t="s">
        <v>279</v>
      </c>
      <c r="C123" s="4" t="str">
        <f>IF(ISERROR(_xlfn.XMATCH(B123,oldlist!B:B,0)),"not found","found")</f>
        <v>found</v>
      </c>
    </row>
    <row r="124" spans="1:3" x14ac:dyDescent="0.5">
      <c r="A124" t="s">
        <v>2817</v>
      </c>
      <c r="B124" t="s">
        <v>331</v>
      </c>
      <c r="C124" s="4" t="str">
        <f>IF(ISERROR(_xlfn.XMATCH(B124,oldlist!B:B,0)),"not found","found")</f>
        <v>found</v>
      </c>
    </row>
    <row r="125" spans="1:3" x14ac:dyDescent="0.5">
      <c r="A125" t="s">
        <v>2817</v>
      </c>
      <c r="B125" t="s">
        <v>984</v>
      </c>
      <c r="C125" s="4" t="str">
        <f>IF(ISERROR(_xlfn.XMATCH(B125,oldlist!B:B,0)),"not found","found")</f>
        <v>found</v>
      </c>
    </row>
    <row r="126" spans="1:3" x14ac:dyDescent="0.5">
      <c r="A126" t="s">
        <v>2817</v>
      </c>
      <c r="B126" t="s">
        <v>341</v>
      </c>
      <c r="C126" s="4" t="str">
        <f>IF(ISERROR(_xlfn.XMATCH(B126,oldlist!B:B,0)),"not found","found")</f>
        <v>found</v>
      </c>
    </row>
    <row r="127" spans="1:3" x14ac:dyDescent="0.5">
      <c r="A127" t="s">
        <v>2817</v>
      </c>
      <c r="B127" t="s">
        <v>535</v>
      </c>
      <c r="C127" s="4" t="str">
        <f>IF(ISERROR(_xlfn.XMATCH(B127,oldlist!B:B,0)),"not found","found")</f>
        <v>found</v>
      </c>
    </row>
    <row r="128" spans="1:3" x14ac:dyDescent="0.5">
      <c r="A128" t="s">
        <v>2817</v>
      </c>
      <c r="B128" t="s">
        <v>81</v>
      </c>
      <c r="C128" s="4" t="str">
        <f>IF(ISERROR(_xlfn.XMATCH(B128,oldlist!B:B,0)),"not found","found")</f>
        <v>found</v>
      </c>
    </row>
    <row r="129" spans="1:3" x14ac:dyDescent="0.5">
      <c r="A129" t="s">
        <v>2817</v>
      </c>
      <c r="B129" t="s">
        <v>705</v>
      </c>
      <c r="C129" s="4" t="str">
        <f>IF(ISERROR(_xlfn.XMATCH(B129,oldlist!B:B,0)),"not found","found")</f>
        <v>found</v>
      </c>
    </row>
    <row r="130" spans="1:3" x14ac:dyDescent="0.5">
      <c r="A130" t="s">
        <v>2817</v>
      </c>
      <c r="B130" t="s">
        <v>228</v>
      </c>
      <c r="C130" s="4" t="str">
        <f>IF(ISERROR(_xlfn.XMATCH(B130,oldlist!B:B,0)),"not found","found")</f>
        <v>found</v>
      </c>
    </row>
    <row r="131" spans="1:3" x14ac:dyDescent="0.5">
      <c r="A131" t="s">
        <v>2817</v>
      </c>
      <c r="B131" t="s">
        <v>121</v>
      </c>
      <c r="C131" s="4" t="str">
        <f>IF(ISERROR(_xlfn.XMATCH(B131,oldlist!B:B,0)),"not found","found")</f>
        <v>found</v>
      </c>
    </row>
    <row r="132" spans="1:3" x14ac:dyDescent="0.5">
      <c r="A132" t="s">
        <v>2817</v>
      </c>
      <c r="B132" t="s">
        <v>850</v>
      </c>
      <c r="C132" s="4" t="str">
        <f>IF(ISERROR(_xlfn.XMATCH(B132,oldlist!B:B,0)),"not found","found")</f>
        <v>found</v>
      </c>
    </row>
    <row r="133" spans="1:3" x14ac:dyDescent="0.5">
      <c r="A133" t="s">
        <v>2817</v>
      </c>
      <c r="B133" t="s">
        <v>643</v>
      </c>
      <c r="C133" s="4" t="str">
        <f>IF(ISERROR(_xlfn.XMATCH(B133,oldlist!B:B,0)),"not found","found")</f>
        <v>found</v>
      </c>
    </row>
    <row r="134" spans="1:3" x14ac:dyDescent="0.5">
      <c r="A134" t="s">
        <v>2817</v>
      </c>
      <c r="B134" t="s">
        <v>45</v>
      </c>
      <c r="C134" s="4" t="str">
        <f>IF(ISERROR(_xlfn.XMATCH(B134,oldlist!B:B,0)),"not found","found")</f>
        <v>found</v>
      </c>
    </row>
    <row r="135" spans="1:3" x14ac:dyDescent="0.5">
      <c r="A135" t="s">
        <v>2817</v>
      </c>
      <c r="B135" t="s">
        <v>351</v>
      </c>
      <c r="C135" s="4" t="str">
        <f>IF(ISERROR(_xlfn.XMATCH(B135,oldlist!B:B,0)),"not found","found")</f>
        <v>found</v>
      </c>
    </row>
    <row r="136" spans="1:3" x14ac:dyDescent="0.5">
      <c r="A136" t="s">
        <v>2817</v>
      </c>
      <c r="B136" t="s">
        <v>925</v>
      </c>
      <c r="C136" s="4" t="str">
        <f>IF(ISERROR(_xlfn.XMATCH(B136,oldlist!B:B,0)),"not found","found")</f>
        <v>found</v>
      </c>
    </row>
    <row r="137" spans="1:3" x14ac:dyDescent="0.5">
      <c r="A137" t="s">
        <v>2817</v>
      </c>
      <c r="B137" t="s">
        <v>42</v>
      </c>
      <c r="C137" s="4" t="str">
        <f>IF(ISERROR(_xlfn.XMATCH(B137,oldlist!B:B,0)),"not found","found")</f>
        <v>found</v>
      </c>
    </row>
    <row r="138" spans="1:3" x14ac:dyDescent="0.5">
      <c r="A138" t="s">
        <v>2817</v>
      </c>
      <c r="B138" t="s">
        <v>1012</v>
      </c>
      <c r="C138" s="4" t="str">
        <f>IF(ISERROR(_xlfn.XMATCH(B138,oldlist!B:B,0)),"not found","found")</f>
        <v>found</v>
      </c>
    </row>
    <row r="139" spans="1:3" x14ac:dyDescent="0.5">
      <c r="A139" t="s">
        <v>2817</v>
      </c>
      <c r="B139" t="s">
        <v>243</v>
      </c>
      <c r="C139" s="4" t="str">
        <f>IF(ISERROR(_xlfn.XMATCH(B139,oldlist!B:B,0)),"not found","found")</f>
        <v>found</v>
      </c>
    </row>
    <row r="140" spans="1:3" x14ac:dyDescent="0.5">
      <c r="A140" t="s">
        <v>2817</v>
      </c>
      <c r="B140" t="s">
        <v>589</v>
      </c>
      <c r="C140" s="4" t="str">
        <f>IF(ISERROR(_xlfn.XMATCH(B140,oldlist!B:B,0)),"not found","found")</f>
        <v>found</v>
      </c>
    </row>
    <row r="141" spans="1:3" x14ac:dyDescent="0.5">
      <c r="A141" t="s">
        <v>2817</v>
      </c>
      <c r="B141" t="s">
        <v>447</v>
      </c>
      <c r="C141" s="4" t="str">
        <f>IF(ISERROR(_xlfn.XMATCH(B141,oldlist!B:B,0)),"not found","found")</f>
        <v>found</v>
      </c>
    </row>
    <row r="142" spans="1:3" x14ac:dyDescent="0.5">
      <c r="A142" t="s">
        <v>2817</v>
      </c>
      <c r="B142" t="s">
        <v>604</v>
      </c>
      <c r="C142" s="4" t="str">
        <f>IF(ISERROR(_xlfn.XMATCH(B142,oldlist!B:B,0)),"not found","found")</f>
        <v>found</v>
      </c>
    </row>
    <row r="143" spans="1:3" x14ac:dyDescent="0.5">
      <c r="A143" t="s">
        <v>2817</v>
      </c>
      <c r="B143" t="s">
        <v>478</v>
      </c>
      <c r="C143" s="4" t="str">
        <f>IF(ISERROR(_xlfn.XMATCH(B143,oldlist!B:B,0)),"not found","found")</f>
        <v>found</v>
      </c>
    </row>
    <row r="144" spans="1:3" x14ac:dyDescent="0.5">
      <c r="A144" t="s">
        <v>2817</v>
      </c>
      <c r="B144" t="s">
        <v>464</v>
      </c>
      <c r="C144" s="4" t="str">
        <f>IF(ISERROR(_xlfn.XMATCH(B144,oldlist!B:B,0)),"not found","found")</f>
        <v>found</v>
      </c>
    </row>
    <row r="145" spans="1:3" x14ac:dyDescent="0.5">
      <c r="A145" t="s">
        <v>2817</v>
      </c>
      <c r="B145" t="s">
        <v>181</v>
      </c>
      <c r="C145" s="4" t="str">
        <f>IF(ISERROR(_xlfn.XMATCH(B145,oldlist!B:B,0)),"not found","found")</f>
        <v>found</v>
      </c>
    </row>
    <row r="146" spans="1:3" x14ac:dyDescent="0.5">
      <c r="A146" t="s">
        <v>2817</v>
      </c>
      <c r="B146" t="s">
        <v>975</v>
      </c>
      <c r="C146" s="4" t="str">
        <f>IF(ISERROR(_xlfn.XMATCH(B146,oldlist!B:B,0)),"not found","found")</f>
        <v>found</v>
      </c>
    </row>
    <row r="147" spans="1:3" x14ac:dyDescent="0.5">
      <c r="A147" t="s">
        <v>2817</v>
      </c>
      <c r="B147" t="s">
        <v>521</v>
      </c>
      <c r="C147" s="4" t="str">
        <f>IF(ISERROR(_xlfn.XMATCH(B147,oldlist!B:B,0)),"not found","found")</f>
        <v>found</v>
      </c>
    </row>
    <row r="148" spans="1:3" x14ac:dyDescent="0.5">
      <c r="A148" t="s">
        <v>2817</v>
      </c>
      <c r="B148" t="s">
        <v>945</v>
      </c>
      <c r="C148" s="4" t="str">
        <f>IF(ISERROR(_xlfn.XMATCH(B148,oldlist!B:B,0)),"not found","found")</f>
        <v>found</v>
      </c>
    </row>
    <row r="149" spans="1:3" x14ac:dyDescent="0.5">
      <c r="A149" t="s">
        <v>2817</v>
      </c>
      <c r="B149" t="s">
        <v>929</v>
      </c>
      <c r="C149" s="4" t="str">
        <f>IF(ISERROR(_xlfn.XMATCH(B149,oldlist!B:B,0)),"not found","found")</f>
        <v>found</v>
      </c>
    </row>
    <row r="150" spans="1:3" x14ac:dyDescent="0.5">
      <c r="A150" t="s">
        <v>2817</v>
      </c>
      <c r="B150" t="s">
        <v>188</v>
      </c>
      <c r="C150" s="4" t="str">
        <f>IF(ISERROR(_xlfn.XMATCH(B150,oldlist!B:B,0)),"not found","found")</f>
        <v>found</v>
      </c>
    </row>
    <row r="151" spans="1:3" x14ac:dyDescent="0.5">
      <c r="A151" t="s">
        <v>2817</v>
      </c>
      <c r="B151" t="s">
        <v>709</v>
      </c>
      <c r="C151" s="4" t="str">
        <f>IF(ISERROR(_xlfn.XMATCH(B151,oldlist!B:B,0)),"not found","found")</f>
        <v>found</v>
      </c>
    </row>
    <row r="152" spans="1:3" x14ac:dyDescent="0.5">
      <c r="A152" t="s">
        <v>2817</v>
      </c>
      <c r="B152" t="s">
        <v>127</v>
      </c>
      <c r="C152" s="4" t="str">
        <f>IF(ISERROR(_xlfn.XMATCH(B152,oldlist!B:B,0)),"not found","found")</f>
        <v>found</v>
      </c>
    </row>
    <row r="153" spans="1:3" x14ac:dyDescent="0.5">
      <c r="A153" t="s">
        <v>2817</v>
      </c>
      <c r="B153" t="s">
        <v>725</v>
      </c>
      <c r="C153" s="4" t="str">
        <f>IF(ISERROR(_xlfn.XMATCH(B153,oldlist!B:B,0)),"not found","found")</f>
        <v>found</v>
      </c>
    </row>
    <row r="154" spans="1:3" x14ac:dyDescent="0.5">
      <c r="A154" t="s">
        <v>2817</v>
      </c>
      <c r="B154" t="s">
        <v>472</v>
      </c>
      <c r="C154" s="4" t="str">
        <f>IF(ISERROR(_xlfn.XMATCH(B154,oldlist!B:B,0)),"not found","found")</f>
        <v>found</v>
      </c>
    </row>
    <row r="155" spans="1:3" x14ac:dyDescent="0.5">
      <c r="A155" t="s">
        <v>2817</v>
      </c>
      <c r="B155" t="s">
        <v>311</v>
      </c>
      <c r="C155" s="4" t="str">
        <f>IF(ISERROR(_xlfn.XMATCH(B155,oldlist!B:B,0)),"not found","found")</f>
        <v>found</v>
      </c>
    </row>
    <row r="156" spans="1:3" x14ac:dyDescent="0.5">
      <c r="A156" t="s">
        <v>2817</v>
      </c>
      <c r="B156" t="s">
        <v>773</v>
      </c>
      <c r="C156" s="4" t="str">
        <f>IF(ISERROR(_xlfn.XMATCH(B156,oldlist!B:B,0)),"not found","found")</f>
        <v>found</v>
      </c>
    </row>
    <row r="157" spans="1:3" x14ac:dyDescent="0.5">
      <c r="A157" t="s">
        <v>2817</v>
      </c>
      <c r="B157" t="s">
        <v>339</v>
      </c>
      <c r="C157" s="4" t="str">
        <f>IF(ISERROR(_xlfn.XMATCH(B157,oldlist!B:B,0)),"not found","found")</f>
        <v>found</v>
      </c>
    </row>
    <row r="158" spans="1:3" x14ac:dyDescent="0.5">
      <c r="A158" t="s">
        <v>2817</v>
      </c>
      <c r="B158" t="s">
        <v>214</v>
      </c>
      <c r="C158" s="4" t="str">
        <f>IF(ISERROR(_xlfn.XMATCH(B158,oldlist!B:B,0)),"not found","found")</f>
        <v>found</v>
      </c>
    </row>
    <row r="159" spans="1:3" x14ac:dyDescent="0.5">
      <c r="A159" t="s">
        <v>2817</v>
      </c>
      <c r="B159" t="s">
        <v>1018</v>
      </c>
      <c r="C159" s="4" t="str">
        <f>IF(ISERROR(_xlfn.XMATCH(B159,oldlist!B:B,0)),"not found","found")</f>
        <v>found</v>
      </c>
    </row>
    <row r="160" spans="1:3" x14ac:dyDescent="0.5">
      <c r="A160" t="s">
        <v>2817</v>
      </c>
      <c r="B160" t="s">
        <v>202</v>
      </c>
      <c r="C160" s="4" t="str">
        <f>IF(ISERROR(_xlfn.XMATCH(B160,oldlist!B:B,0)),"not found","found")</f>
        <v>found</v>
      </c>
    </row>
    <row r="161" spans="1:3" x14ac:dyDescent="0.5">
      <c r="A161" t="s">
        <v>2817</v>
      </c>
      <c r="B161" t="s">
        <v>137</v>
      </c>
      <c r="C161" s="4" t="str">
        <f>IF(ISERROR(_xlfn.XMATCH(B161,oldlist!B:B,0)),"not found","found")</f>
        <v>found</v>
      </c>
    </row>
    <row r="162" spans="1:3" x14ac:dyDescent="0.5">
      <c r="A162" t="s">
        <v>2817</v>
      </c>
      <c r="B162" t="s">
        <v>1020</v>
      </c>
      <c r="C162" s="4" t="str">
        <f>IF(ISERROR(_xlfn.XMATCH(B162,oldlist!B:B,0)),"not found","found")</f>
        <v>found</v>
      </c>
    </row>
    <row r="163" spans="1:3" x14ac:dyDescent="0.5">
      <c r="A163" t="s">
        <v>2817</v>
      </c>
      <c r="B163" t="s">
        <v>833</v>
      </c>
      <c r="C163" s="4" t="str">
        <f>IF(ISERROR(_xlfn.XMATCH(B163,oldlist!B:B,0)),"not found","found")</f>
        <v>found</v>
      </c>
    </row>
    <row r="164" spans="1:3" x14ac:dyDescent="0.5">
      <c r="A164" t="s">
        <v>2817</v>
      </c>
      <c r="B164" t="s">
        <v>470</v>
      </c>
      <c r="C164" s="4" t="str">
        <f>IF(ISERROR(_xlfn.XMATCH(B164,oldlist!B:B,0)),"not found","found")</f>
        <v>found</v>
      </c>
    </row>
    <row r="165" spans="1:3" x14ac:dyDescent="0.5">
      <c r="A165" t="s">
        <v>2817</v>
      </c>
      <c r="B165" t="s">
        <v>355</v>
      </c>
      <c r="C165" s="4" t="str">
        <f>IF(ISERROR(_xlfn.XMATCH(B165,oldlist!B:B,0)),"not found","found")</f>
        <v>found</v>
      </c>
    </row>
    <row r="166" spans="1:3" x14ac:dyDescent="0.5">
      <c r="A166" t="s">
        <v>2817</v>
      </c>
      <c r="B166" t="s">
        <v>149</v>
      </c>
      <c r="C166" s="4" t="str">
        <f>IF(ISERROR(_xlfn.XMATCH(B166,oldlist!B:B,0)),"not found","found")</f>
        <v>found</v>
      </c>
    </row>
    <row r="167" spans="1:3" x14ac:dyDescent="0.5">
      <c r="A167" t="s">
        <v>2817</v>
      </c>
      <c r="B167" t="s">
        <v>745</v>
      </c>
      <c r="C167" s="4" t="str">
        <f>IF(ISERROR(_xlfn.XMATCH(B167,oldlist!B:B,0)),"not found","found")</f>
        <v>found</v>
      </c>
    </row>
    <row r="168" spans="1:3" x14ac:dyDescent="0.5">
      <c r="A168" t="s">
        <v>2817</v>
      </c>
      <c r="B168" t="s">
        <v>807</v>
      </c>
      <c r="C168" s="4" t="str">
        <f>IF(ISERROR(_xlfn.XMATCH(B168,oldlist!B:B,0)),"not found","found")</f>
        <v>found</v>
      </c>
    </row>
    <row r="169" spans="1:3" x14ac:dyDescent="0.5">
      <c r="A169" t="s">
        <v>2817</v>
      </c>
      <c r="B169" t="s">
        <v>921</v>
      </c>
      <c r="C169" s="4" t="str">
        <f>IF(ISERROR(_xlfn.XMATCH(B169,oldlist!B:B,0)),"not found","found")</f>
        <v>found</v>
      </c>
    </row>
    <row r="170" spans="1:3" x14ac:dyDescent="0.5">
      <c r="A170" t="s">
        <v>2817</v>
      </c>
      <c r="B170" t="s">
        <v>549</v>
      </c>
      <c r="C170" s="4" t="str">
        <f>IF(ISERROR(_xlfn.XMATCH(B170,oldlist!B:B,0)),"not found","found")</f>
        <v>found</v>
      </c>
    </row>
    <row r="171" spans="1:3" x14ac:dyDescent="0.5">
      <c r="A171" t="s">
        <v>2817</v>
      </c>
      <c r="B171" t="s">
        <v>224</v>
      </c>
      <c r="C171" s="4" t="str">
        <f>IF(ISERROR(_xlfn.XMATCH(B171,oldlist!B:B,0)),"not found","found")</f>
        <v>found</v>
      </c>
    </row>
    <row r="172" spans="1:3" x14ac:dyDescent="0.5">
      <c r="A172" t="s">
        <v>2817</v>
      </c>
      <c r="B172" t="s">
        <v>309</v>
      </c>
      <c r="C172" s="4" t="str">
        <f>IF(ISERROR(_xlfn.XMATCH(B172,oldlist!B:B,0)),"not found","found")</f>
        <v>found</v>
      </c>
    </row>
    <row r="173" spans="1:3" x14ac:dyDescent="0.5">
      <c r="A173" t="s">
        <v>2817</v>
      </c>
      <c r="B173" t="s">
        <v>259</v>
      </c>
      <c r="C173" s="4" t="str">
        <f>IF(ISERROR(_xlfn.XMATCH(B173,oldlist!B:B,0)),"not found","found")</f>
        <v>found</v>
      </c>
    </row>
    <row r="174" spans="1:3" x14ac:dyDescent="0.5">
      <c r="A174" t="s">
        <v>2817</v>
      </c>
      <c r="B174" t="s">
        <v>711</v>
      </c>
      <c r="C174" s="4" t="str">
        <f>IF(ISERROR(_xlfn.XMATCH(B174,oldlist!B:B,0)),"not found","found")</f>
        <v>found</v>
      </c>
    </row>
    <row r="175" spans="1:3" x14ac:dyDescent="0.5">
      <c r="A175" t="s">
        <v>2817</v>
      </c>
      <c r="B175" t="s">
        <v>719</v>
      </c>
      <c r="C175" s="4" t="str">
        <f>IF(ISERROR(_xlfn.XMATCH(B175,oldlist!B:B,0)),"not found","found")</f>
        <v>found</v>
      </c>
    </row>
    <row r="176" spans="1:3" x14ac:dyDescent="0.5">
      <c r="A176" t="s">
        <v>2817</v>
      </c>
      <c r="B176" t="s">
        <v>1026</v>
      </c>
      <c r="C176" s="4" t="str">
        <f>IF(ISERROR(_xlfn.XMATCH(B176,oldlist!B:B,0)),"not found","found")</f>
        <v>found</v>
      </c>
    </row>
    <row r="177" spans="1:3" x14ac:dyDescent="0.5">
      <c r="A177" t="s">
        <v>2817</v>
      </c>
      <c r="B177" t="s">
        <v>222</v>
      </c>
      <c r="C177" s="4" t="str">
        <f>IF(ISERROR(_xlfn.XMATCH(B177,oldlist!B:B,0)),"not found","found")</f>
        <v>found</v>
      </c>
    </row>
    <row r="178" spans="1:3" x14ac:dyDescent="0.5">
      <c r="A178" t="s">
        <v>2817</v>
      </c>
      <c r="B178" t="s">
        <v>885</v>
      </c>
      <c r="C178" s="4" t="str">
        <f>IF(ISERROR(_xlfn.XMATCH(B178,oldlist!B:B,0)),"not found","found")</f>
        <v>found</v>
      </c>
    </row>
    <row r="179" spans="1:3" x14ac:dyDescent="0.5">
      <c r="A179" t="s">
        <v>2817</v>
      </c>
      <c r="B179" t="s">
        <v>303</v>
      </c>
      <c r="C179" s="4" t="str">
        <f>IF(ISERROR(_xlfn.XMATCH(B179,oldlist!B:B,0)),"not found","found")</f>
        <v>found</v>
      </c>
    </row>
    <row r="180" spans="1:3" x14ac:dyDescent="0.5">
      <c r="A180" t="s">
        <v>2817</v>
      </c>
      <c r="B180" t="s">
        <v>192</v>
      </c>
      <c r="C180" s="4" t="str">
        <f>IF(ISERROR(_xlfn.XMATCH(B180,oldlist!B:B,0)),"not found","found")</f>
        <v>found</v>
      </c>
    </row>
    <row r="181" spans="1:3" x14ac:dyDescent="0.5">
      <c r="A181" t="s">
        <v>2817</v>
      </c>
      <c r="B181" t="s">
        <v>237</v>
      </c>
      <c r="C181" s="4" t="str">
        <f>IF(ISERROR(_xlfn.XMATCH(B181,oldlist!B:B,0)),"not found","found")</f>
        <v>found</v>
      </c>
    </row>
    <row r="182" spans="1:3" x14ac:dyDescent="0.5">
      <c r="A182" t="s">
        <v>2817</v>
      </c>
      <c r="B182" t="s">
        <v>157</v>
      </c>
      <c r="C182" s="4" t="str">
        <f>IF(ISERROR(_xlfn.XMATCH(B182,oldlist!B:B,0)),"not found","found")</f>
        <v>found</v>
      </c>
    </row>
    <row r="183" spans="1:3" x14ac:dyDescent="0.5">
      <c r="A183" t="s">
        <v>2817</v>
      </c>
      <c r="B183" t="s">
        <v>115</v>
      </c>
      <c r="C183" s="4" t="str">
        <f>IF(ISERROR(_xlfn.XMATCH(B183,oldlist!B:B,0)),"not found","found")</f>
        <v>found</v>
      </c>
    </row>
    <row r="184" spans="1:3" x14ac:dyDescent="0.5">
      <c r="A184" t="s">
        <v>2817</v>
      </c>
      <c r="B184" t="s">
        <v>691</v>
      </c>
      <c r="C184" s="4" t="str">
        <f>IF(ISERROR(_xlfn.XMATCH(B184,oldlist!B:B,0)),"not found","found")</f>
        <v>found</v>
      </c>
    </row>
    <row r="185" spans="1:3" x14ac:dyDescent="0.5">
      <c r="A185" t="s">
        <v>2817</v>
      </c>
      <c r="B185" t="s">
        <v>263</v>
      </c>
      <c r="C185" s="4" t="str">
        <f>IF(ISERROR(_xlfn.XMATCH(B185,oldlist!B:B,0)),"not found","found")</f>
        <v>found</v>
      </c>
    </row>
    <row r="186" spans="1:3" x14ac:dyDescent="0.5">
      <c r="A186" t="s">
        <v>2817</v>
      </c>
      <c r="B186" t="s">
        <v>1038</v>
      </c>
      <c r="C186" s="4" t="str">
        <f>IF(ISERROR(_xlfn.XMATCH(B186,oldlist!B:B,0)),"not found","found")</f>
        <v>found</v>
      </c>
    </row>
    <row r="187" spans="1:3" x14ac:dyDescent="0.5">
      <c r="A187" t="s">
        <v>2817</v>
      </c>
      <c r="B187" t="s">
        <v>825</v>
      </c>
      <c r="C187" s="4" t="str">
        <f>IF(ISERROR(_xlfn.XMATCH(B187,oldlist!B:B,0)),"not found","found")</f>
        <v>found</v>
      </c>
    </row>
    <row r="188" spans="1:3" x14ac:dyDescent="0.5">
      <c r="A188" t="s">
        <v>2817</v>
      </c>
      <c r="B188" t="s">
        <v>1000</v>
      </c>
      <c r="C188" s="4" t="str">
        <f>IF(ISERROR(_xlfn.XMATCH(B188,oldlist!B:B,0)),"not found","found")</f>
        <v>not found</v>
      </c>
    </row>
    <row r="189" spans="1:3" x14ac:dyDescent="0.5">
      <c r="A189" t="s">
        <v>2817</v>
      </c>
      <c r="B189" t="s">
        <v>897</v>
      </c>
      <c r="C189" s="4" t="str">
        <f>IF(ISERROR(_xlfn.XMATCH(B189,oldlist!B:B,0)),"not found","found")</f>
        <v>found</v>
      </c>
    </row>
    <row r="190" spans="1:3" x14ac:dyDescent="0.5">
      <c r="A190" t="s">
        <v>2817</v>
      </c>
      <c r="B190" t="s">
        <v>761</v>
      </c>
      <c r="C190" s="4" t="str">
        <f>IF(ISERROR(_xlfn.XMATCH(B190,oldlist!B:B,0)),"not found","found")</f>
        <v>found</v>
      </c>
    </row>
    <row r="191" spans="1:3" x14ac:dyDescent="0.5">
      <c r="A191" t="s">
        <v>2817</v>
      </c>
      <c r="B191" t="s">
        <v>988</v>
      </c>
      <c r="C191" s="4" t="str">
        <f>IF(ISERROR(_xlfn.XMATCH(B191,oldlist!B:B,0)),"not found","found")</f>
        <v>found</v>
      </c>
    </row>
    <row r="192" spans="1:3" x14ac:dyDescent="0.5">
      <c r="A192" t="s">
        <v>2817</v>
      </c>
      <c r="B192" t="s">
        <v>933</v>
      </c>
      <c r="C192" s="4" t="str">
        <f>IF(ISERROR(_xlfn.XMATCH(B192,oldlist!B:B,0)),"not found","found")</f>
        <v>found</v>
      </c>
    </row>
    <row r="193" spans="1:3" x14ac:dyDescent="0.5">
      <c r="A193" t="s">
        <v>2817</v>
      </c>
      <c r="B193" t="s">
        <v>645</v>
      </c>
      <c r="C193" s="4" t="str">
        <f>IF(ISERROR(_xlfn.XMATCH(B193,oldlist!B:B,0)),"not found","found")</f>
        <v>found</v>
      </c>
    </row>
    <row r="194" spans="1:3" x14ac:dyDescent="0.5">
      <c r="A194" t="s">
        <v>2817</v>
      </c>
      <c r="B194" t="s">
        <v>79</v>
      </c>
      <c r="C194" s="4" t="str">
        <f>IF(ISERROR(_xlfn.XMATCH(B194,oldlist!B:B,0)),"not found","found")</f>
        <v>found</v>
      </c>
    </row>
    <row r="195" spans="1:3" x14ac:dyDescent="0.5">
      <c r="A195" t="s">
        <v>2817</v>
      </c>
      <c r="B195" t="s">
        <v>675</v>
      </c>
      <c r="C195" s="4" t="str">
        <f>IF(ISERROR(_xlfn.XMATCH(B195,oldlist!B:B,0)),"not found","found")</f>
        <v>found</v>
      </c>
    </row>
    <row r="196" spans="1:3" x14ac:dyDescent="0.5">
      <c r="A196" t="s">
        <v>2817</v>
      </c>
      <c r="B196" t="s">
        <v>585</v>
      </c>
      <c r="C196" s="4" t="str">
        <f>IF(ISERROR(_xlfn.XMATCH(B196,oldlist!B:B,0)),"not found","found")</f>
        <v>found</v>
      </c>
    </row>
    <row r="197" spans="1:3" x14ac:dyDescent="0.5">
      <c r="A197" t="s">
        <v>2817</v>
      </c>
      <c r="B197" t="s">
        <v>979</v>
      </c>
      <c r="C197" s="4" t="str">
        <f>IF(ISERROR(_xlfn.XMATCH(B197,oldlist!B:B,0)),"not found","found")</f>
        <v>found</v>
      </c>
    </row>
    <row r="198" spans="1:3" x14ac:dyDescent="0.5">
      <c r="A198" t="s">
        <v>2817</v>
      </c>
      <c r="B198" t="s">
        <v>693</v>
      </c>
      <c r="C198" s="4" t="str">
        <f>IF(ISERROR(_xlfn.XMATCH(B198,oldlist!B:B,0)),"not found","found")</f>
        <v>found</v>
      </c>
    </row>
    <row r="199" spans="1:3" x14ac:dyDescent="0.5">
      <c r="A199" t="s">
        <v>2817</v>
      </c>
      <c r="B199" t="s">
        <v>819</v>
      </c>
      <c r="C199" s="4" t="str">
        <f>IF(ISERROR(_xlfn.XMATCH(B199,oldlist!B:B,0)),"not found","found")</f>
        <v>found</v>
      </c>
    </row>
    <row r="200" spans="1:3" x14ac:dyDescent="0.5">
      <c r="A200" t="s">
        <v>2817</v>
      </c>
      <c r="B200" t="s">
        <v>56</v>
      </c>
      <c r="C200" s="4" t="str">
        <f>IF(ISERROR(_xlfn.XMATCH(B200,oldlist!B:B,0)),"not found","found")</f>
        <v>found</v>
      </c>
    </row>
    <row r="201" spans="1:3" x14ac:dyDescent="0.5">
      <c r="A201" t="s">
        <v>2817</v>
      </c>
      <c r="B201" t="s">
        <v>815</v>
      </c>
      <c r="C201" s="4" t="str">
        <f>IF(ISERROR(_xlfn.XMATCH(B201,oldlist!B:B,0)),"not found","found")</f>
        <v>found</v>
      </c>
    </row>
    <row r="202" spans="1:3" x14ac:dyDescent="0.5">
      <c r="A202" t="s">
        <v>2817</v>
      </c>
      <c r="B202" t="s">
        <v>283</v>
      </c>
      <c r="C202" s="4" t="str">
        <f>IF(ISERROR(_xlfn.XMATCH(B202,oldlist!B:B,0)),"not found","found")</f>
        <v>found</v>
      </c>
    </row>
    <row r="203" spans="1:3" x14ac:dyDescent="0.5">
      <c r="A203" t="s">
        <v>2817</v>
      </c>
      <c r="B203" t="s">
        <v>1016</v>
      </c>
      <c r="C203" s="4" t="str">
        <f>IF(ISERROR(_xlfn.XMATCH(B203,oldlist!B:B,0)),"not found","found")</f>
        <v>found</v>
      </c>
    </row>
    <row r="204" spans="1:3" x14ac:dyDescent="0.5">
      <c r="A204" t="s">
        <v>2817</v>
      </c>
      <c r="B204" t="s">
        <v>858</v>
      </c>
      <c r="C204" s="4" t="str">
        <f>IF(ISERROR(_xlfn.XMATCH(B204,oldlist!B:B,0)),"not found","found")</f>
        <v>found</v>
      </c>
    </row>
    <row r="205" spans="1:3" x14ac:dyDescent="0.5">
      <c r="A205" t="s">
        <v>2817</v>
      </c>
      <c r="B205" t="s">
        <v>622</v>
      </c>
      <c r="C205" s="4" t="str">
        <f>IF(ISERROR(_xlfn.XMATCH(B205,oldlist!B:B,0)),"not found","found")</f>
        <v>found</v>
      </c>
    </row>
    <row r="206" spans="1:3" x14ac:dyDescent="0.5">
      <c r="A206" t="s">
        <v>2817</v>
      </c>
      <c r="B206" t="s">
        <v>421</v>
      </c>
      <c r="C206" s="4" t="str">
        <f>IF(ISERROR(_xlfn.XMATCH(B206,oldlist!B:B,0)),"not found","found")</f>
        <v>found</v>
      </c>
    </row>
    <row r="207" spans="1:3" x14ac:dyDescent="0.5">
      <c r="A207" t="s">
        <v>2817</v>
      </c>
      <c r="B207" t="s">
        <v>183</v>
      </c>
      <c r="C207" s="4" t="str">
        <f>IF(ISERROR(_xlfn.XMATCH(B207,oldlist!B:B,0)),"not found","found")</f>
        <v>found</v>
      </c>
    </row>
    <row r="208" spans="1:3" x14ac:dyDescent="0.5">
      <c r="A208" t="s">
        <v>2817</v>
      </c>
      <c r="B208" t="s">
        <v>887</v>
      </c>
      <c r="C208" s="4" t="str">
        <f>IF(ISERROR(_xlfn.XMATCH(B208,oldlist!B:B,0)),"not found","found")</f>
        <v>found</v>
      </c>
    </row>
    <row r="209" spans="1:3" x14ac:dyDescent="0.5">
      <c r="A209" t="s">
        <v>2817</v>
      </c>
      <c r="B209" t="s">
        <v>982</v>
      </c>
      <c r="C209" s="4" t="str">
        <f>IF(ISERROR(_xlfn.XMATCH(B209,oldlist!B:B,0)),"not found","found")</f>
        <v>found</v>
      </c>
    </row>
    <row r="210" spans="1:3" x14ac:dyDescent="0.5">
      <c r="A210" t="s">
        <v>2817</v>
      </c>
      <c r="B210" t="s">
        <v>413</v>
      </c>
      <c r="C210" s="4" t="str">
        <f>IF(ISERROR(_xlfn.XMATCH(B210,oldlist!B:B,0)),"not found","found")</f>
        <v>found</v>
      </c>
    </row>
    <row r="211" spans="1:3" x14ac:dyDescent="0.5">
      <c r="A211" t="s">
        <v>2817</v>
      </c>
      <c r="B211" t="s">
        <v>687</v>
      </c>
      <c r="C211" s="4" t="str">
        <f>IF(ISERROR(_xlfn.XMATCH(B211,oldlist!B:B,0)),"not found","found")</f>
        <v>found</v>
      </c>
    </row>
    <row r="212" spans="1:3" x14ac:dyDescent="0.5">
      <c r="A212" t="s">
        <v>2817</v>
      </c>
      <c r="B212" t="s">
        <v>129</v>
      </c>
      <c r="C212" s="4" t="str">
        <f>IF(ISERROR(_xlfn.XMATCH(B212,oldlist!B:B,0)),"not found","found")</f>
        <v>found</v>
      </c>
    </row>
    <row r="213" spans="1:3" x14ac:dyDescent="0.5">
      <c r="A213" t="s">
        <v>2817</v>
      </c>
      <c r="B213" t="s">
        <v>943</v>
      </c>
      <c r="C213" s="4" t="str">
        <f>IF(ISERROR(_xlfn.XMATCH(B213,oldlist!B:B,0)),"not found","found")</f>
        <v>found</v>
      </c>
    </row>
    <row r="214" spans="1:3" x14ac:dyDescent="0.5">
      <c r="A214" t="s">
        <v>2817</v>
      </c>
      <c r="B214" t="s">
        <v>843</v>
      </c>
      <c r="C214" s="4" t="str">
        <f>IF(ISERROR(_xlfn.XMATCH(B214,oldlist!B:B,0)),"not found","found")</f>
        <v>found</v>
      </c>
    </row>
    <row r="215" spans="1:3" x14ac:dyDescent="0.5">
      <c r="A215" t="s">
        <v>2817</v>
      </c>
      <c r="B215" t="s">
        <v>841</v>
      </c>
      <c r="C215" s="4" t="str">
        <f>IF(ISERROR(_xlfn.XMATCH(B215,oldlist!B:B,0)),"not found","found")</f>
        <v>found</v>
      </c>
    </row>
    <row r="216" spans="1:3" x14ac:dyDescent="0.5">
      <c r="A216" t="s">
        <v>2817</v>
      </c>
      <c r="B216" t="s">
        <v>377</v>
      </c>
      <c r="C216" s="4" t="str">
        <f>IF(ISERROR(_xlfn.XMATCH(B216,oldlist!B:B,0)),"not found","found")</f>
        <v>found</v>
      </c>
    </row>
    <row r="217" spans="1:3" x14ac:dyDescent="0.5">
      <c r="A217" t="s">
        <v>2817</v>
      </c>
      <c r="B217" t="s">
        <v>1028</v>
      </c>
      <c r="C217" s="4" t="str">
        <f>IF(ISERROR(_xlfn.XMATCH(B217,oldlist!B:B,0)),"not found","found")</f>
        <v>found</v>
      </c>
    </row>
    <row r="218" spans="1:3" x14ac:dyDescent="0.5">
      <c r="A218" t="s">
        <v>2817</v>
      </c>
      <c r="B218" t="s">
        <v>905</v>
      </c>
      <c r="C218" s="4" t="str">
        <f>IF(ISERROR(_xlfn.XMATCH(B218,oldlist!B:B,0)),"not found","found")</f>
        <v>found</v>
      </c>
    </row>
    <row r="219" spans="1:3" x14ac:dyDescent="0.5">
      <c r="A219" t="s">
        <v>2817</v>
      </c>
      <c r="B219" t="s">
        <v>103</v>
      </c>
      <c r="C219" s="4" t="str">
        <f>IF(ISERROR(_xlfn.XMATCH(B219,oldlist!B:B,0)),"not found","found")</f>
        <v>found</v>
      </c>
    </row>
    <row r="220" spans="1:3" x14ac:dyDescent="0.5">
      <c r="A220" t="s">
        <v>2817</v>
      </c>
      <c r="B220" t="s">
        <v>204</v>
      </c>
      <c r="C220" s="4" t="str">
        <f>IF(ISERROR(_xlfn.XMATCH(B220,oldlist!B:B,0)),"not found","found")</f>
        <v>found</v>
      </c>
    </row>
    <row r="221" spans="1:3" x14ac:dyDescent="0.5">
      <c r="A221" t="s">
        <v>2817</v>
      </c>
      <c r="B221" t="s">
        <v>829</v>
      </c>
      <c r="C221" s="4" t="str">
        <f>IF(ISERROR(_xlfn.XMATCH(B221,oldlist!B:B,0)),"not found","found")</f>
        <v>found</v>
      </c>
    </row>
    <row r="222" spans="1:3" x14ac:dyDescent="0.5">
      <c r="A222" t="s">
        <v>2817</v>
      </c>
      <c r="B222" t="s">
        <v>791</v>
      </c>
      <c r="C222" s="4" t="str">
        <f>IF(ISERROR(_xlfn.XMATCH(B222,oldlist!B:B,0)),"not found","found")</f>
        <v>found</v>
      </c>
    </row>
    <row r="223" spans="1:3" x14ac:dyDescent="0.5">
      <c r="A223" t="s">
        <v>2817</v>
      </c>
      <c r="B223" t="s">
        <v>856</v>
      </c>
      <c r="C223" s="4" t="str">
        <f>IF(ISERROR(_xlfn.XMATCH(B223,oldlist!B:B,0)),"not found","found")</f>
        <v>found</v>
      </c>
    </row>
    <row r="224" spans="1:3" x14ac:dyDescent="0.5">
      <c r="A224" t="s">
        <v>2817</v>
      </c>
      <c r="B224" t="s">
        <v>573</v>
      </c>
      <c r="C224" s="4" t="str">
        <f>IF(ISERROR(_xlfn.XMATCH(B224,oldlist!B:B,0)),"not found","found")</f>
        <v>found</v>
      </c>
    </row>
    <row r="225" spans="1:3" x14ac:dyDescent="0.5">
      <c r="A225" t="s">
        <v>2817</v>
      </c>
      <c r="B225" t="s">
        <v>433</v>
      </c>
      <c r="C225" s="4" t="str">
        <f>IF(ISERROR(_xlfn.XMATCH(B225,oldlist!B:B,0)),"not found","found")</f>
        <v>found</v>
      </c>
    </row>
    <row r="226" spans="1:3" x14ac:dyDescent="0.5">
      <c r="A226" t="s">
        <v>2817</v>
      </c>
      <c r="B226" t="s">
        <v>295</v>
      </c>
      <c r="C226" s="4" t="str">
        <f>IF(ISERROR(_xlfn.XMATCH(B226,oldlist!B:B,0)),"not found","found")</f>
        <v>found</v>
      </c>
    </row>
    <row r="227" spans="1:3" x14ac:dyDescent="0.5">
      <c r="A227" t="s">
        <v>2817</v>
      </c>
      <c r="B227" t="s">
        <v>561</v>
      </c>
      <c r="C227" s="4" t="str">
        <f>IF(ISERROR(_xlfn.XMATCH(B227,oldlist!B:B,0)),"not found","found")</f>
        <v>found</v>
      </c>
    </row>
    <row r="228" spans="1:3" x14ac:dyDescent="0.5">
      <c r="A228" t="s">
        <v>2817</v>
      </c>
      <c r="B228" t="s">
        <v>817</v>
      </c>
      <c r="C228" s="4" t="str">
        <f>IF(ISERROR(_xlfn.XMATCH(B228,oldlist!B:B,0)),"not found","found")</f>
        <v>found</v>
      </c>
    </row>
    <row r="229" spans="1:3" x14ac:dyDescent="0.5">
      <c r="A229" t="s">
        <v>2817</v>
      </c>
      <c r="B229" t="s">
        <v>917</v>
      </c>
      <c r="C229" s="4" t="str">
        <f>IF(ISERROR(_xlfn.XMATCH(B229,oldlist!B:B,0)),"not found","found")</f>
        <v>found</v>
      </c>
    </row>
    <row r="230" spans="1:3" x14ac:dyDescent="0.5">
      <c r="A230" t="s">
        <v>2817</v>
      </c>
      <c r="B230" t="s">
        <v>230</v>
      </c>
      <c r="C230" s="4" t="str">
        <f>IF(ISERROR(_xlfn.XMATCH(B230,oldlist!B:B,0)),"not found","found")</f>
        <v>found</v>
      </c>
    </row>
    <row r="231" spans="1:3" x14ac:dyDescent="0.5">
      <c r="A231" t="s">
        <v>2817</v>
      </c>
      <c r="B231" t="s">
        <v>36</v>
      </c>
      <c r="C231" s="4" t="str">
        <f>IF(ISERROR(_xlfn.XMATCH(B231,oldlist!B:B,0)),"not found","found")</f>
        <v>found</v>
      </c>
    </row>
    <row r="232" spans="1:3" x14ac:dyDescent="0.5">
      <c r="A232" t="s">
        <v>2817</v>
      </c>
      <c r="B232" t="s">
        <v>271</v>
      </c>
      <c r="C232" s="4" t="str">
        <f>IF(ISERROR(_xlfn.XMATCH(B232,oldlist!B:B,0)),"not found","found")</f>
        <v>found</v>
      </c>
    </row>
    <row r="233" spans="1:3" x14ac:dyDescent="0.5">
      <c r="A233" t="s">
        <v>2817</v>
      </c>
      <c r="B233" t="s">
        <v>755</v>
      </c>
      <c r="C233" s="4" t="str">
        <f>IF(ISERROR(_xlfn.XMATCH(B233,oldlist!B:B,0)),"not found","found")</f>
        <v>found</v>
      </c>
    </row>
    <row r="234" spans="1:3" x14ac:dyDescent="0.5">
      <c r="A234" t="s">
        <v>2817</v>
      </c>
      <c r="B234" t="s">
        <v>375</v>
      </c>
      <c r="C234" s="4" t="str">
        <f>IF(ISERROR(_xlfn.XMATCH(B234,oldlist!B:B,0)),"not found","found")</f>
        <v>found</v>
      </c>
    </row>
    <row r="235" spans="1:3" x14ac:dyDescent="0.5">
      <c r="A235" t="s">
        <v>2817</v>
      </c>
      <c r="B235" t="s">
        <v>63</v>
      </c>
      <c r="C235" s="4" t="str">
        <f>IF(ISERROR(_xlfn.XMATCH(B235,oldlist!B:B,0)),"not found","found")</f>
        <v>found</v>
      </c>
    </row>
    <row r="236" spans="1:3" x14ac:dyDescent="0.5">
      <c r="A236" t="s">
        <v>2817</v>
      </c>
      <c r="B236" t="s">
        <v>541</v>
      </c>
      <c r="C236" s="4" t="str">
        <f>IF(ISERROR(_xlfn.XMATCH(B236,oldlist!B:B,0)),"not found","found")</f>
        <v>found</v>
      </c>
    </row>
    <row r="237" spans="1:3" x14ac:dyDescent="0.5">
      <c r="A237" t="s">
        <v>2817</v>
      </c>
      <c r="B237" t="s">
        <v>813</v>
      </c>
      <c r="C237" s="4" t="str">
        <f>IF(ISERROR(_xlfn.XMATCH(B237,oldlist!B:B,0)),"not found","found")</f>
        <v>found</v>
      </c>
    </row>
    <row r="238" spans="1:3" x14ac:dyDescent="0.5">
      <c r="A238" t="s">
        <v>2817</v>
      </c>
      <c r="B238" t="s">
        <v>403</v>
      </c>
      <c r="C238" s="4" t="str">
        <f>IF(ISERROR(_xlfn.XMATCH(B238,oldlist!B:B,0)),"not found","found")</f>
        <v>found</v>
      </c>
    </row>
    <row r="239" spans="1:3" x14ac:dyDescent="0.5">
      <c r="A239" t="s">
        <v>2817</v>
      </c>
      <c r="B239" t="s">
        <v>77</v>
      </c>
      <c r="C239" s="4" t="str">
        <f>IF(ISERROR(_xlfn.XMATCH(B239,oldlist!B:B,0)),"not found","found")</f>
        <v>found</v>
      </c>
    </row>
    <row r="240" spans="1:3" x14ac:dyDescent="0.5">
      <c r="A240" t="s">
        <v>2817</v>
      </c>
      <c r="B240" t="s">
        <v>713</v>
      </c>
      <c r="C240" s="4" t="str">
        <f>IF(ISERROR(_xlfn.XMATCH(B240,oldlist!B:B,0)),"not found","found")</f>
        <v>found</v>
      </c>
    </row>
    <row r="241" spans="1:3" x14ac:dyDescent="0.5">
      <c r="A241" t="s">
        <v>2817</v>
      </c>
      <c r="B241" t="s">
        <v>801</v>
      </c>
      <c r="C241" s="4" t="str">
        <f>IF(ISERROR(_xlfn.XMATCH(B241,oldlist!B:B,0)),"not found","found")</f>
        <v>found</v>
      </c>
    </row>
    <row r="242" spans="1:3" x14ac:dyDescent="0.5">
      <c r="A242" t="s">
        <v>2817</v>
      </c>
      <c r="B242" t="s">
        <v>602</v>
      </c>
      <c r="C242" s="4" t="str">
        <f>IF(ISERROR(_xlfn.XMATCH(B242,oldlist!B:B,0)),"not found","found")</f>
        <v>found</v>
      </c>
    </row>
    <row r="243" spans="1:3" x14ac:dyDescent="0.5">
      <c r="A243" t="s">
        <v>2817</v>
      </c>
      <c r="B243" t="s">
        <v>612</v>
      </c>
      <c r="C243" s="4" t="str">
        <f>IF(ISERROR(_xlfn.XMATCH(B243,oldlist!B:B,0)),"not found","found")</f>
        <v>found</v>
      </c>
    </row>
    <row r="244" spans="1:3" x14ac:dyDescent="0.5">
      <c r="A244" t="s">
        <v>2817</v>
      </c>
      <c r="B244" t="s">
        <v>349</v>
      </c>
      <c r="C244" s="4" t="str">
        <f>IF(ISERROR(_xlfn.XMATCH(B244,oldlist!B:B,0)),"not found","found")</f>
        <v>found</v>
      </c>
    </row>
    <row r="245" spans="1:3" x14ac:dyDescent="0.5">
      <c r="A245" t="s">
        <v>2817</v>
      </c>
      <c r="B245" t="s">
        <v>809</v>
      </c>
      <c r="C245" s="4" t="str">
        <f>IF(ISERROR(_xlfn.XMATCH(B245,oldlist!B:B,0)),"not found","found")</f>
        <v>found</v>
      </c>
    </row>
    <row r="246" spans="1:3" x14ac:dyDescent="0.5">
      <c r="A246" t="s">
        <v>2817</v>
      </c>
      <c r="B246" t="s">
        <v>177</v>
      </c>
      <c r="C246" s="4" t="str">
        <f>IF(ISERROR(_xlfn.XMATCH(B246,oldlist!B:B,0)),"not found","found")</f>
        <v>found</v>
      </c>
    </row>
    <row r="247" spans="1:3" x14ac:dyDescent="0.5">
      <c r="A247" t="s">
        <v>2817</v>
      </c>
      <c r="B247" t="s">
        <v>48</v>
      </c>
      <c r="C247" s="4" t="str">
        <f>IF(ISERROR(_xlfn.XMATCH(B247,oldlist!B:B,0)),"not found","found")</f>
        <v>found</v>
      </c>
    </row>
    <row r="248" spans="1:3" x14ac:dyDescent="0.5">
      <c r="A248" t="s">
        <v>2817</v>
      </c>
      <c r="B248" t="s">
        <v>1006</v>
      </c>
      <c r="C248" s="4" t="str">
        <f>IF(ISERROR(_xlfn.XMATCH(B248,oldlist!B:B,0)),"not found","found")</f>
        <v>found</v>
      </c>
    </row>
    <row r="249" spans="1:3" x14ac:dyDescent="0.5">
      <c r="A249" t="s">
        <v>2817</v>
      </c>
      <c r="B249" t="s">
        <v>437</v>
      </c>
      <c r="C249" s="4" t="str">
        <f>IF(ISERROR(_xlfn.XMATCH(B249,oldlist!B:B,0)),"not found","found")</f>
        <v>found</v>
      </c>
    </row>
    <row r="250" spans="1:3" x14ac:dyDescent="0.5">
      <c r="A250" t="s">
        <v>2817</v>
      </c>
      <c r="B250" t="s">
        <v>751</v>
      </c>
      <c r="C250" s="4" t="str">
        <f>IF(ISERROR(_xlfn.XMATCH(B250,oldlist!B:B,0)),"not found","found")</f>
        <v>found</v>
      </c>
    </row>
    <row r="251" spans="1:3" x14ac:dyDescent="0.5">
      <c r="A251" t="s">
        <v>2817</v>
      </c>
      <c r="B251" t="s">
        <v>365</v>
      </c>
      <c r="C251" s="4" t="str">
        <f>IF(ISERROR(_xlfn.XMATCH(B251,oldlist!B:B,0)),"not found","found")</f>
        <v>found</v>
      </c>
    </row>
    <row r="252" spans="1:3" x14ac:dyDescent="0.5">
      <c r="A252" t="s">
        <v>2817</v>
      </c>
      <c r="B252" t="s">
        <v>397</v>
      </c>
      <c r="C252" s="4" t="str">
        <f>IF(ISERROR(_xlfn.XMATCH(B252,oldlist!B:B,0)),"not found","found")</f>
        <v>found</v>
      </c>
    </row>
    <row r="253" spans="1:3" x14ac:dyDescent="0.5">
      <c r="A253" t="s">
        <v>2817</v>
      </c>
      <c r="B253" t="s">
        <v>653</v>
      </c>
      <c r="C253" s="4" t="str">
        <f>IF(ISERROR(_xlfn.XMATCH(B253,oldlist!B:B,0)),"not found","found")</f>
        <v>found</v>
      </c>
    </row>
    <row r="254" spans="1:3" x14ac:dyDescent="0.5">
      <c r="A254" t="s">
        <v>2817</v>
      </c>
      <c r="B254" t="s">
        <v>618</v>
      </c>
      <c r="C254" s="4" t="str">
        <f>IF(ISERROR(_xlfn.XMATCH(B254,oldlist!B:B,0)),"not found","found")</f>
        <v>found</v>
      </c>
    </row>
    <row r="255" spans="1:3" x14ac:dyDescent="0.5">
      <c r="A255" t="s">
        <v>2817</v>
      </c>
      <c r="B255" t="s">
        <v>1048</v>
      </c>
      <c r="C255" s="4" t="str">
        <f>IF(ISERROR(_xlfn.XMATCH(B255,oldlist!B:B,0)),"not found","found")</f>
        <v>found</v>
      </c>
    </row>
    <row r="256" spans="1:3" x14ac:dyDescent="0.5">
      <c r="A256" t="s">
        <v>2817</v>
      </c>
      <c r="B256" t="s">
        <v>210</v>
      </c>
      <c r="C256" s="4" t="str">
        <f>IF(ISERROR(_xlfn.XMATCH(B256,oldlist!B:B,0)),"not found","found")</f>
        <v>found</v>
      </c>
    </row>
    <row r="257" spans="1:3" x14ac:dyDescent="0.5">
      <c r="A257" t="s">
        <v>2817</v>
      </c>
      <c r="B257" t="s">
        <v>167</v>
      </c>
      <c r="C257" s="4" t="str">
        <f>IF(ISERROR(_xlfn.XMATCH(B257,oldlist!B:B,0)),"not found","found")</f>
        <v>found</v>
      </c>
    </row>
    <row r="258" spans="1:3" x14ac:dyDescent="0.5">
      <c r="A258" t="s">
        <v>2817</v>
      </c>
      <c r="B258" t="s">
        <v>634</v>
      </c>
      <c r="C258" s="4" t="str">
        <f>IF(ISERROR(_xlfn.XMATCH(B258,oldlist!B:B,0)),"not found","found")</f>
        <v>found</v>
      </c>
    </row>
    <row r="259" spans="1:3" x14ac:dyDescent="0.5">
      <c r="A259" t="s">
        <v>2817</v>
      </c>
      <c r="B259" t="s">
        <v>247</v>
      </c>
      <c r="C259" s="4" t="str">
        <f>IF(ISERROR(_xlfn.XMATCH(B259,oldlist!B:B,0)),"not found","found")</f>
        <v>found</v>
      </c>
    </row>
    <row r="260" spans="1:3" x14ac:dyDescent="0.5">
      <c r="A260" t="s">
        <v>2817</v>
      </c>
      <c r="B260" t="s">
        <v>673</v>
      </c>
      <c r="C260" s="4" t="str">
        <f>IF(ISERROR(_xlfn.XMATCH(B260,oldlist!B:B,0)),"not found","found")</f>
        <v>found</v>
      </c>
    </row>
    <row r="261" spans="1:3" x14ac:dyDescent="0.5">
      <c r="A261" t="s">
        <v>2817</v>
      </c>
      <c r="B261" t="s">
        <v>667</v>
      </c>
      <c r="C261" s="4" t="str">
        <f>IF(ISERROR(_xlfn.XMATCH(B261,oldlist!B:B,0)),"not found","found")</f>
        <v>found</v>
      </c>
    </row>
    <row r="262" spans="1:3" x14ac:dyDescent="0.5">
      <c r="A262" t="s">
        <v>2817</v>
      </c>
      <c r="B262" t="s">
        <v>1022</v>
      </c>
      <c r="C262" s="4" t="str">
        <f>IF(ISERROR(_xlfn.XMATCH(B262,oldlist!B:B,0)),"not found","found")</f>
        <v>found</v>
      </c>
    </row>
    <row r="263" spans="1:3" x14ac:dyDescent="0.5">
      <c r="A263" t="s">
        <v>2817</v>
      </c>
      <c r="B263" t="s">
        <v>113</v>
      </c>
      <c r="C263" s="4" t="str">
        <f>IF(ISERROR(_xlfn.XMATCH(B263,oldlist!B:B,0)),"not found","found")</f>
        <v>found</v>
      </c>
    </row>
    <row r="264" spans="1:3" x14ac:dyDescent="0.5">
      <c r="A264" t="s">
        <v>2817</v>
      </c>
      <c r="B264" t="s">
        <v>196</v>
      </c>
      <c r="C264" s="4" t="str">
        <f>IF(ISERROR(_xlfn.XMATCH(B264,oldlist!B:B,0)),"not found","found")</f>
        <v>found</v>
      </c>
    </row>
    <row r="265" spans="1:3" x14ac:dyDescent="0.5">
      <c r="A265" t="s">
        <v>2817</v>
      </c>
      <c r="B265" t="s">
        <v>423</v>
      </c>
      <c r="C265" s="4" t="str">
        <f>IF(ISERROR(_xlfn.XMATCH(B265,oldlist!B:B,0)),"not found","found")</f>
        <v>found</v>
      </c>
    </row>
    <row r="266" spans="1:3" x14ac:dyDescent="0.5">
      <c r="A266" t="s">
        <v>2817</v>
      </c>
      <c r="B266" t="s">
        <v>293</v>
      </c>
      <c r="C266" s="4" t="str">
        <f>IF(ISERROR(_xlfn.XMATCH(B266,oldlist!B:B,0)),"not found","found")</f>
        <v>found</v>
      </c>
    </row>
    <row r="267" spans="1:3" x14ac:dyDescent="0.5">
      <c r="A267" t="s">
        <v>2817</v>
      </c>
      <c r="B267" t="s">
        <v>733</v>
      </c>
      <c r="C267" s="4" t="str">
        <f>IF(ISERROR(_xlfn.XMATCH(B267,oldlist!B:B,0)),"not found","found")</f>
        <v>found</v>
      </c>
    </row>
    <row r="268" spans="1:3" x14ac:dyDescent="0.5">
      <c r="A268" t="s">
        <v>2817</v>
      </c>
      <c r="B268" t="s">
        <v>327</v>
      </c>
      <c r="C268" s="4" t="str">
        <f>IF(ISERROR(_xlfn.XMATCH(B268,oldlist!B:B,0)),"not found","found")</f>
        <v>found</v>
      </c>
    </row>
    <row r="269" spans="1:3" x14ac:dyDescent="0.5">
      <c r="A269" t="s">
        <v>2817</v>
      </c>
      <c r="B269" t="s">
        <v>173</v>
      </c>
      <c r="C269" s="4" t="str">
        <f>IF(ISERROR(_xlfn.XMATCH(B269,oldlist!B:B,0)),"not found","found")</f>
        <v>found</v>
      </c>
    </row>
    <row r="270" spans="1:3" x14ac:dyDescent="0.5">
      <c r="A270" t="s">
        <v>2817</v>
      </c>
      <c r="B270" t="s">
        <v>996</v>
      </c>
      <c r="C270" s="4" t="str">
        <f>IF(ISERROR(_xlfn.XMATCH(B270,oldlist!B:B,0)),"not found","found")</f>
        <v>found</v>
      </c>
    </row>
    <row r="271" spans="1:3" x14ac:dyDescent="0.5">
      <c r="A271" t="s">
        <v>2817</v>
      </c>
      <c r="B271" t="s">
        <v>685</v>
      </c>
      <c r="C271" s="4" t="str">
        <f>IF(ISERROR(_xlfn.XMATCH(B271,oldlist!B:B,0)),"not found","found")</f>
        <v>found</v>
      </c>
    </row>
    <row r="272" spans="1:3" x14ac:dyDescent="0.5">
      <c r="A272" t="s">
        <v>2817</v>
      </c>
      <c r="B272" t="s">
        <v>381</v>
      </c>
      <c r="C272" s="4" t="str">
        <f>IF(ISERROR(_xlfn.XMATCH(B272,oldlist!B:B,0)),"not found","found")</f>
        <v>found</v>
      </c>
    </row>
    <row r="273" spans="1:3" x14ac:dyDescent="0.5">
      <c r="A273" t="s">
        <v>2817</v>
      </c>
      <c r="B273" t="s">
        <v>141</v>
      </c>
      <c r="C273" s="4" t="str">
        <f>IF(ISERROR(_xlfn.XMATCH(B273,oldlist!B:B,0)),"not found","found")</f>
        <v>found</v>
      </c>
    </row>
    <row r="274" spans="1:3" x14ac:dyDescent="0.5">
      <c r="A274" t="s">
        <v>2817</v>
      </c>
      <c r="B274" t="s">
        <v>763</v>
      </c>
      <c r="C274" s="4" t="str">
        <f>IF(ISERROR(_xlfn.XMATCH(B274,oldlist!B:B,0)),"not found","found")</f>
        <v>found</v>
      </c>
    </row>
    <row r="275" spans="1:3" x14ac:dyDescent="0.5">
      <c r="A275" t="s">
        <v>2817</v>
      </c>
      <c r="B275" t="s">
        <v>527</v>
      </c>
      <c r="C275" s="4" t="str">
        <f>IF(ISERROR(_xlfn.XMATCH(B275,oldlist!B:B,0)),"not found","found")</f>
        <v>found</v>
      </c>
    </row>
    <row r="276" spans="1:3" x14ac:dyDescent="0.5">
      <c r="A276" t="s">
        <v>2817</v>
      </c>
      <c r="B276" t="s">
        <v>379</v>
      </c>
      <c r="C276" s="4" t="str">
        <f>IF(ISERROR(_xlfn.XMATCH(B276,oldlist!B:B,0)),"not found","found")</f>
        <v>found</v>
      </c>
    </row>
    <row r="277" spans="1:3" x14ac:dyDescent="0.5">
      <c r="A277" t="s">
        <v>2817</v>
      </c>
      <c r="B277" t="s">
        <v>220</v>
      </c>
      <c r="C277" s="4" t="str">
        <f>IF(ISERROR(_xlfn.XMATCH(B277,oldlist!B:B,0)),"not found","found")</f>
        <v>found</v>
      </c>
    </row>
    <row r="278" spans="1:3" x14ac:dyDescent="0.5">
      <c r="A278" t="s">
        <v>2817</v>
      </c>
      <c r="B278" t="s">
        <v>608</v>
      </c>
      <c r="C278" s="4" t="str">
        <f>IF(ISERROR(_xlfn.XMATCH(B278,oldlist!B:B,0)),"not found","found")</f>
        <v>found</v>
      </c>
    </row>
    <row r="279" spans="1:3" x14ac:dyDescent="0.5">
      <c r="A279" t="s">
        <v>2817</v>
      </c>
      <c r="B279" t="s">
        <v>839</v>
      </c>
      <c r="C279" s="4" t="str">
        <f>IF(ISERROR(_xlfn.XMATCH(B279,oldlist!B:B,0)),"not found","found")</f>
        <v>found</v>
      </c>
    </row>
    <row r="280" spans="1:3" x14ac:dyDescent="0.5">
      <c r="A280" t="s">
        <v>2817</v>
      </c>
      <c r="B280" t="s">
        <v>361</v>
      </c>
      <c r="C280" s="4" t="str">
        <f>IF(ISERROR(_xlfn.XMATCH(B280,oldlist!B:B,0)),"not found","found")</f>
        <v>found</v>
      </c>
    </row>
    <row r="281" spans="1:3" x14ac:dyDescent="0.5">
      <c r="A281" t="s">
        <v>2817</v>
      </c>
      <c r="B281" t="s">
        <v>598</v>
      </c>
      <c r="C281" s="4" t="str">
        <f>IF(ISERROR(_xlfn.XMATCH(B281,oldlist!B:B,0)),"not found","found")</f>
        <v>found</v>
      </c>
    </row>
    <row r="282" spans="1:3" x14ac:dyDescent="0.5">
      <c r="A282" t="s">
        <v>2817</v>
      </c>
      <c r="B282" t="s">
        <v>852</v>
      </c>
      <c r="C282" s="4" t="str">
        <f>IF(ISERROR(_xlfn.XMATCH(B282,oldlist!B:B,0)),"not found","found")</f>
        <v>found</v>
      </c>
    </row>
    <row r="283" spans="1:3" x14ac:dyDescent="0.5">
      <c r="A283" t="s">
        <v>2817</v>
      </c>
      <c r="B283" t="s">
        <v>371</v>
      </c>
      <c r="C283" s="4" t="str">
        <f>IF(ISERROR(_xlfn.XMATCH(B283,oldlist!B:B,0)),"not found","found")</f>
        <v>found</v>
      </c>
    </row>
    <row r="284" spans="1:3" x14ac:dyDescent="0.5">
      <c r="A284" t="s">
        <v>2817</v>
      </c>
      <c r="B284" t="s">
        <v>51</v>
      </c>
      <c r="C284" s="4" t="str">
        <f>IF(ISERROR(_xlfn.XMATCH(B284,oldlist!B:B,0)),"not found","found")</f>
        <v>found</v>
      </c>
    </row>
    <row r="285" spans="1:3" x14ac:dyDescent="0.5">
      <c r="A285" t="s">
        <v>2817</v>
      </c>
      <c r="B285" t="s">
        <v>683</v>
      </c>
      <c r="C285" s="4" t="str">
        <f>IF(ISERROR(_xlfn.XMATCH(B285,oldlist!B:B,0)),"not found","found")</f>
        <v>found</v>
      </c>
    </row>
    <row r="286" spans="1:3" x14ac:dyDescent="0.5">
      <c r="A286" t="s">
        <v>2817</v>
      </c>
      <c r="B286" t="s">
        <v>787</v>
      </c>
      <c r="C286" s="4" t="str">
        <f>IF(ISERROR(_xlfn.XMATCH(B286,oldlist!B:B,0)),"not found","found")</f>
        <v>found</v>
      </c>
    </row>
    <row r="287" spans="1:3" x14ac:dyDescent="0.5">
      <c r="A287" t="s">
        <v>2817</v>
      </c>
      <c r="B287" t="s">
        <v>186</v>
      </c>
      <c r="C287" s="4" t="str">
        <f>IF(ISERROR(_xlfn.XMATCH(B287,oldlist!B:B,0)),"not found","found")</f>
        <v>found</v>
      </c>
    </row>
    <row r="288" spans="1:3" x14ac:dyDescent="0.5">
      <c r="A288" t="s">
        <v>2817</v>
      </c>
      <c r="B288" t="s">
        <v>797</v>
      </c>
      <c r="C288" s="4" t="str">
        <f>IF(ISERROR(_xlfn.XMATCH(B288,oldlist!B:B,0)),"not found","found")</f>
        <v>found</v>
      </c>
    </row>
    <row r="289" spans="1:3" x14ac:dyDescent="0.5">
      <c r="A289" t="s">
        <v>2817</v>
      </c>
      <c r="B289" t="s">
        <v>699</v>
      </c>
      <c r="C289" s="4" t="str">
        <f>IF(ISERROR(_xlfn.XMATCH(B289,oldlist!B:B,0)),"not found","found")</f>
        <v>found</v>
      </c>
    </row>
    <row r="290" spans="1:3" x14ac:dyDescent="0.5">
      <c r="A290" t="s">
        <v>2817</v>
      </c>
      <c r="B290" t="s">
        <v>1046</v>
      </c>
      <c r="C290" s="4" t="str">
        <f>IF(ISERROR(_xlfn.XMATCH(B290,oldlist!B:B,0)),"not found","found")</f>
        <v>found</v>
      </c>
    </row>
    <row r="291" spans="1:3" x14ac:dyDescent="0.5">
      <c r="A291" t="s">
        <v>2817</v>
      </c>
      <c r="B291" t="s">
        <v>811</v>
      </c>
      <c r="C291" s="4" t="str">
        <f>IF(ISERROR(_xlfn.XMATCH(B291,oldlist!B:B,0)),"not found","found")</f>
        <v>found</v>
      </c>
    </row>
    <row r="292" spans="1:3" x14ac:dyDescent="0.5">
      <c r="A292" t="s">
        <v>2817</v>
      </c>
      <c r="B292" t="s">
        <v>525</v>
      </c>
      <c r="C292" s="4" t="str">
        <f>IF(ISERROR(_xlfn.XMATCH(B292,oldlist!B:B,0)),"not found","found")</f>
        <v>found</v>
      </c>
    </row>
    <row r="293" spans="1:3" x14ac:dyDescent="0.5">
      <c r="A293" t="s">
        <v>2817</v>
      </c>
      <c r="B293" t="s">
        <v>357</v>
      </c>
      <c r="C293" s="4" t="str">
        <f>IF(ISERROR(_xlfn.XMATCH(B293,oldlist!B:B,0)),"not found","found")</f>
        <v>found</v>
      </c>
    </row>
    <row r="294" spans="1:3" x14ac:dyDescent="0.5">
      <c r="A294" t="s">
        <v>2817</v>
      </c>
      <c r="B294" t="s">
        <v>405</v>
      </c>
      <c r="C294" s="4" t="str">
        <f>IF(ISERROR(_xlfn.XMATCH(B294,oldlist!B:B,0)),"not found","found")</f>
        <v>found</v>
      </c>
    </row>
    <row r="295" spans="1:3" x14ac:dyDescent="0.5">
      <c r="A295" t="s">
        <v>2817</v>
      </c>
      <c r="B295" t="s">
        <v>343</v>
      </c>
      <c r="C295" s="4" t="str">
        <f>IF(ISERROR(_xlfn.XMATCH(B295,oldlist!B:B,0)),"not found","found")</f>
        <v>found</v>
      </c>
    </row>
    <row r="296" spans="1:3" x14ac:dyDescent="0.5">
      <c r="A296" t="s">
        <v>2817</v>
      </c>
      <c r="B296" t="s">
        <v>767</v>
      </c>
      <c r="C296" s="4" t="str">
        <f>IF(ISERROR(_xlfn.XMATCH(B296,oldlist!B:B,0)),"not found","found")</f>
        <v>found</v>
      </c>
    </row>
    <row r="297" spans="1:3" x14ac:dyDescent="0.5">
      <c r="A297" t="s">
        <v>2817</v>
      </c>
      <c r="B297" t="s">
        <v>757</v>
      </c>
      <c r="C297" s="4" t="str">
        <f>IF(ISERROR(_xlfn.XMATCH(B297,oldlist!B:B,0)),"not found","found")</f>
        <v>found</v>
      </c>
    </row>
    <row r="298" spans="1:3" x14ac:dyDescent="0.5">
      <c r="A298" t="s">
        <v>2817</v>
      </c>
      <c r="B298" t="s">
        <v>439</v>
      </c>
      <c r="C298" s="4" t="str">
        <f>IF(ISERROR(_xlfn.XMATCH(B298,oldlist!B:B,0)),"not found","found")</f>
        <v>found</v>
      </c>
    </row>
    <row r="299" spans="1:3" x14ac:dyDescent="0.5">
      <c r="A299" t="s">
        <v>2817</v>
      </c>
      <c r="B299" t="s">
        <v>907</v>
      </c>
      <c r="C299" s="4" t="str">
        <f>IF(ISERROR(_xlfn.XMATCH(B299,oldlist!B:B,0)),"not found","found")</f>
        <v>found</v>
      </c>
    </row>
    <row r="300" spans="1:3" x14ac:dyDescent="0.5">
      <c r="A300" t="s">
        <v>2817</v>
      </c>
      <c r="B300" t="s">
        <v>785</v>
      </c>
      <c r="C300" s="4" t="str">
        <f>IF(ISERROR(_xlfn.XMATCH(B300,oldlist!B:B,0)),"not found","found")</f>
        <v>found</v>
      </c>
    </row>
    <row r="301" spans="1:3" x14ac:dyDescent="0.5">
      <c r="A301" t="s">
        <v>2817</v>
      </c>
      <c r="B301" t="s">
        <v>889</v>
      </c>
      <c r="C301" s="4" t="str">
        <f>IF(ISERROR(_xlfn.XMATCH(B301,oldlist!B:B,0)),"not found","found")</f>
        <v>found</v>
      </c>
    </row>
    <row r="302" spans="1:3" x14ac:dyDescent="0.5">
      <c r="A302" t="s">
        <v>2817</v>
      </c>
      <c r="B302" t="s">
        <v>415</v>
      </c>
      <c r="C302" s="4" t="str">
        <f>IF(ISERROR(_xlfn.XMATCH(B302,oldlist!B:B,0)),"not found","found")</f>
        <v>found</v>
      </c>
    </row>
    <row r="303" spans="1:3" x14ac:dyDescent="0.5">
      <c r="A303" t="s">
        <v>2817</v>
      </c>
      <c r="B303" t="s">
        <v>273</v>
      </c>
      <c r="C303" s="4" t="str">
        <f>IF(ISERROR(_xlfn.XMATCH(B303,oldlist!B:B,0)),"not found","found")</f>
        <v>found</v>
      </c>
    </row>
    <row r="304" spans="1:3" x14ac:dyDescent="0.5">
      <c r="A304" t="s">
        <v>2817</v>
      </c>
      <c r="B304" t="s">
        <v>947</v>
      </c>
      <c r="C304" s="4" t="str">
        <f>IF(ISERROR(_xlfn.XMATCH(B304,oldlist!B:B,0)),"not found","found")</f>
        <v>found</v>
      </c>
    </row>
    <row r="305" spans="1:3" x14ac:dyDescent="0.5">
      <c r="A305" t="s">
        <v>2817</v>
      </c>
      <c r="B305" t="s">
        <v>139</v>
      </c>
      <c r="C305" s="4" t="str">
        <f>IF(ISERROR(_xlfn.XMATCH(B305,oldlist!B:B,0)),"not found","found")</f>
        <v>found</v>
      </c>
    </row>
    <row r="306" spans="1:3" x14ac:dyDescent="0.5">
      <c r="A306" t="s">
        <v>2817</v>
      </c>
      <c r="B306" t="s">
        <v>453</v>
      </c>
      <c r="C306" s="4" t="str">
        <f>IF(ISERROR(_xlfn.XMATCH(B306,oldlist!B:B,0)),"not found","found")</f>
        <v>found</v>
      </c>
    </row>
    <row r="307" spans="1:3" x14ac:dyDescent="0.5">
      <c r="A307" t="s">
        <v>2817</v>
      </c>
      <c r="B307" t="s">
        <v>455</v>
      </c>
      <c r="C307" s="4" t="str">
        <f>IF(ISERROR(_xlfn.XMATCH(B307,oldlist!B:B,0)),"not found","found")</f>
        <v>found</v>
      </c>
    </row>
    <row r="308" spans="1:3" x14ac:dyDescent="0.5">
      <c r="A308" t="s">
        <v>2817</v>
      </c>
      <c r="B308" t="s">
        <v>1008</v>
      </c>
      <c r="C308" s="4" t="str">
        <f>IF(ISERROR(_xlfn.XMATCH(B308,oldlist!B:B,0)),"not found","found")</f>
        <v>found</v>
      </c>
    </row>
    <row r="309" spans="1:3" x14ac:dyDescent="0.5">
      <c r="A309" t="s">
        <v>2817</v>
      </c>
      <c r="B309" t="s">
        <v>606</v>
      </c>
      <c r="C309" s="4" t="str">
        <f>IF(ISERROR(_xlfn.XMATCH(B309,oldlist!B:B,0)),"not found","found")</f>
        <v>found</v>
      </c>
    </row>
    <row r="310" spans="1:3" x14ac:dyDescent="0.5">
      <c r="A310" t="s">
        <v>2817</v>
      </c>
      <c r="B310" t="s">
        <v>345</v>
      </c>
      <c r="C310" s="4" t="str">
        <f>IF(ISERROR(_xlfn.XMATCH(B310,oldlist!B:B,0)),"not found","found")</f>
        <v>found</v>
      </c>
    </row>
    <row r="311" spans="1:3" x14ac:dyDescent="0.5">
      <c r="A311" t="s">
        <v>2817</v>
      </c>
      <c r="B311" t="s">
        <v>373</v>
      </c>
      <c r="C311" s="4" t="str">
        <f>IF(ISERROR(_xlfn.XMATCH(B311,oldlist!B:B,0)),"not found","found")</f>
        <v>found</v>
      </c>
    </row>
    <row r="312" spans="1:3" x14ac:dyDescent="0.5">
      <c r="A312" t="s">
        <v>2817</v>
      </c>
      <c r="B312" t="s">
        <v>161</v>
      </c>
      <c r="C312" s="4" t="str">
        <f>IF(ISERROR(_xlfn.XMATCH(B312,oldlist!B:B,0)),"not found","found")</f>
        <v>found</v>
      </c>
    </row>
    <row r="313" spans="1:3" x14ac:dyDescent="0.5">
      <c r="A313" t="s">
        <v>2817</v>
      </c>
      <c r="B313" t="s">
        <v>557</v>
      </c>
      <c r="C313" s="4" t="str">
        <f>IF(ISERROR(_xlfn.XMATCH(B313,oldlist!B:B,0)),"not found","found")</f>
        <v>found</v>
      </c>
    </row>
    <row r="314" spans="1:3" x14ac:dyDescent="0.5">
      <c r="A314" t="s">
        <v>2817</v>
      </c>
      <c r="B314" t="s">
        <v>89</v>
      </c>
      <c r="C314" s="4" t="str">
        <f>IF(ISERROR(_xlfn.XMATCH(B314,oldlist!B:B,0)),"not found","found")</f>
        <v>found</v>
      </c>
    </row>
    <row r="315" spans="1:3" x14ac:dyDescent="0.5">
      <c r="A315" t="s">
        <v>2817</v>
      </c>
      <c r="B315" t="s">
        <v>457</v>
      </c>
      <c r="C315" s="4" t="str">
        <f>IF(ISERROR(_xlfn.XMATCH(B315,oldlist!B:B,0)),"not found","found")</f>
        <v>found</v>
      </c>
    </row>
    <row r="316" spans="1:3" x14ac:dyDescent="0.5">
      <c r="A316" t="s">
        <v>2817</v>
      </c>
      <c r="B316" t="s">
        <v>101</v>
      </c>
      <c r="C316" s="4" t="str">
        <f>IF(ISERROR(_xlfn.XMATCH(B316,oldlist!B:B,0)),"not found","found")</f>
        <v>found</v>
      </c>
    </row>
    <row r="317" spans="1:3" x14ac:dyDescent="0.5">
      <c r="A317" t="s">
        <v>2817</v>
      </c>
      <c r="B317" t="s">
        <v>443</v>
      </c>
      <c r="C317" s="4" t="str">
        <f>IF(ISERROR(_xlfn.XMATCH(B317,oldlist!B:B,0)),"not found","found")</f>
        <v>found</v>
      </c>
    </row>
    <row r="318" spans="1:3" x14ac:dyDescent="0.5">
      <c r="A318" t="s">
        <v>2817</v>
      </c>
      <c r="B318" t="s">
        <v>927</v>
      </c>
      <c r="C318" s="4" t="str">
        <f>IF(ISERROR(_xlfn.XMATCH(B318,oldlist!B:B,0)),"not found","found")</f>
        <v>found</v>
      </c>
    </row>
    <row r="319" spans="1:3" x14ac:dyDescent="0.5">
      <c r="A319" t="s">
        <v>2817</v>
      </c>
      <c r="B319" t="s">
        <v>677</v>
      </c>
      <c r="C319" s="4" t="str">
        <f>IF(ISERROR(_xlfn.XMATCH(B319,oldlist!B:B,0)),"not found","found")</f>
        <v>found</v>
      </c>
    </row>
    <row r="320" spans="1:3" x14ac:dyDescent="0.5">
      <c r="A320" t="s">
        <v>2817</v>
      </c>
      <c r="B320" t="s">
        <v>915</v>
      </c>
      <c r="C320" s="4" t="str">
        <f>IF(ISERROR(_xlfn.XMATCH(B320,oldlist!B:B,0)),"not found","found")</f>
        <v>found</v>
      </c>
    </row>
    <row r="321" spans="1:3" x14ac:dyDescent="0.5">
      <c r="A321" t="s">
        <v>2817</v>
      </c>
      <c r="B321" t="s">
        <v>591</v>
      </c>
      <c r="C321" s="4" t="str">
        <f>IF(ISERROR(_xlfn.XMATCH(B321,oldlist!B:B,0)),"not found","found")</f>
        <v>found</v>
      </c>
    </row>
    <row r="322" spans="1:3" x14ac:dyDescent="0.5">
      <c r="A322" t="s">
        <v>2817</v>
      </c>
      <c r="B322" t="s">
        <v>957</v>
      </c>
      <c r="C322" s="4" t="str">
        <f>IF(ISERROR(_xlfn.XMATCH(B322,oldlist!B:B,0)),"not found","found")</f>
        <v>found</v>
      </c>
    </row>
    <row r="323" spans="1:3" x14ac:dyDescent="0.5">
      <c r="A323" t="s">
        <v>2817</v>
      </c>
      <c r="B323" t="s">
        <v>105</v>
      </c>
      <c r="C323" s="4" t="str">
        <f>IF(ISERROR(_xlfn.XMATCH(B323,oldlist!B:B,0)),"not found","found")</f>
        <v>found</v>
      </c>
    </row>
    <row r="324" spans="1:3" x14ac:dyDescent="0.5">
      <c r="A324" t="s">
        <v>2817</v>
      </c>
      <c r="B324" t="s">
        <v>407</v>
      </c>
      <c r="C324" s="4" t="str">
        <f>IF(ISERROR(_xlfn.XMATCH(B324,oldlist!B:B,0)),"not found","found")</f>
        <v>found</v>
      </c>
    </row>
    <row r="325" spans="1:3" x14ac:dyDescent="0.5">
      <c r="A325" t="s">
        <v>2817</v>
      </c>
      <c r="B325" t="s">
        <v>655</v>
      </c>
      <c r="C325" s="4" t="str">
        <f>IF(ISERROR(_xlfn.XMATCH(B325,oldlist!B:B,0)),"not found","found")</f>
        <v>found</v>
      </c>
    </row>
    <row r="326" spans="1:3" x14ac:dyDescent="0.5">
      <c r="A326" t="s">
        <v>2817</v>
      </c>
      <c r="B326" t="s">
        <v>1032</v>
      </c>
      <c r="C326" s="4" t="str">
        <f>IF(ISERROR(_xlfn.XMATCH(B326,oldlist!B:B,0)),"not found","found")</f>
        <v>found</v>
      </c>
    </row>
    <row r="327" spans="1:3" x14ac:dyDescent="0.5">
      <c r="A327" t="s">
        <v>2817</v>
      </c>
      <c r="B327" t="s">
        <v>961</v>
      </c>
      <c r="C327" s="4" t="str">
        <f>IF(ISERROR(_xlfn.XMATCH(B327,oldlist!B:B,0)),"not found","found")</f>
        <v>found</v>
      </c>
    </row>
    <row r="328" spans="1:3" x14ac:dyDescent="0.5">
      <c r="A328" t="s">
        <v>2817</v>
      </c>
      <c r="B328" t="s">
        <v>321</v>
      </c>
      <c r="C328" s="4" t="str">
        <f>IF(ISERROR(_xlfn.XMATCH(B328,oldlist!B:B,0)),"not found","found")</f>
        <v>found</v>
      </c>
    </row>
    <row r="329" spans="1:3" x14ac:dyDescent="0.5">
      <c r="A329" t="s">
        <v>2817</v>
      </c>
      <c r="B329" t="s">
        <v>862</v>
      </c>
      <c r="C329" s="4" t="str">
        <f>IF(ISERROR(_xlfn.XMATCH(B329,oldlist!B:B,0)),"not found","found")</f>
        <v>found</v>
      </c>
    </row>
    <row r="330" spans="1:3" x14ac:dyDescent="0.5">
      <c r="A330" t="s">
        <v>2817</v>
      </c>
      <c r="B330" t="s">
        <v>517</v>
      </c>
      <c r="C330" s="4" t="str">
        <f>IF(ISERROR(_xlfn.XMATCH(B330,oldlist!B:B,0)),"not found","found")</f>
        <v>found</v>
      </c>
    </row>
    <row r="331" spans="1:3" x14ac:dyDescent="0.5">
      <c r="A331" t="s">
        <v>2817</v>
      </c>
      <c r="B331" t="s">
        <v>533</v>
      </c>
      <c r="C331" s="4" t="str">
        <f>IF(ISERROR(_xlfn.XMATCH(B331,oldlist!B:B,0)),"not found","found")</f>
        <v>found</v>
      </c>
    </row>
    <row r="332" spans="1:3" x14ac:dyDescent="0.5">
      <c r="A332" t="s">
        <v>2817</v>
      </c>
      <c r="B332" t="s">
        <v>739</v>
      </c>
      <c r="C332" s="4" t="str">
        <f>IF(ISERROR(_xlfn.XMATCH(B332,oldlist!B:B,0)),"not found","found")</f>
        <v>found</v>
      </c>
    </row>
    <row r="333" spans="1:3" x14ac:dyDescent="0.5">
      <c r="A333" t="s">
        <v>2817</v>
      </c>
      <c r="B333" t="s">
        <v>1010</v>
      </c>
      <c r="C333" s="4" t="str">
        <f>IF(ISERROR(_xlfn.XMATCH(B333,oldlist!B:B,0)),"not found","found")</f>
        <v>found</v>
      </c>
    </row>
    <row r="334" spans="1:3" x14ac:dyDescent="0.5">
      <c r="A334" t="s">
        <v>2817</v>
      </c>
      <c r="B334" t="s">
        <v>990</v>
      </c>
      <c r="C334" s="4" t="str">
        <f>IF(ISERROR(_xlfn.XMATCH(B334,oldlist!B:B,0)),"not found","found")</f>
        <v>found</v>
      </c>
    </row>
    <row r="335" spans="1:3" x14ac:dyDescent="0.5">
      <c r="A335" t="s">
        <v>2817</v>
      </c>
      <c r="B335" t="s">
        <v>901</v>
      </c>
      <c r="C335" s="4" t="str">
        <f>IF(ISERROR(_xlfn.XMATCH(B335,oldlist!B:B,0)),"not found","found")</f>
        <v>found</v>
      </c>
    </row>
    <row r="336" spans="1:3" x14ac:dyDescent="0.5">
      <c r="A336" t="s">
        <v>2817</v>
      </c>
      <c r="B336" t="s">
        <v>877</v>
      </c>
      <c r="C336" s="4" t="str">
        <f>IF(ISERROR(_xlfn.XMATCH(B336,oldlist!B:B,0)),"not found","found")</f>
        <v>found</v>
      </c>
    </row>
    <row r="337" spans="1:3" x14ac:dyDescent="0.5">
      <c r="A337" t="s">
        <v>2817</v>
      </c>
      <c r="B337" t="s">
        <v>329</v>
      </c>
      <c r="C337" s="4" t="str">
        <f>IF(ISERROR(_xlfn.XMATCH(B337,oldlist!B:B,0)),"not found","found")</f>
        <v>found</v>
      </c>
    </row>
    <row r="338" spans="1:3" x14ac:dyDescent="0.5">
      <c r="A338" t="s">
        <v>2817</v>
      </c>
      <c r="B338" t="s">
        <v>133</v>
      </c>
      <c r="C338" s="4" t="str">
        <f>IF(ISERROR(_xlfn.XMATCH(B338,oldlist!B:B,0)),"not found","found")</f>
        <v>found</v>
      </c>
    </row>
    <row r="339" spans="1:3" x14ac:dyDescent="0.5">
      <c r="A339" t="s">
        <v>2817</v>
      </c>
      <c r="B339" t="s">
        <v>769</v>
      </c>
      <c r="C339" s="4" t="str">
        <f>IF(ISERROR(_xlfn.XMATCH(B339,oldlist!B:B,0)),"not found","found")</f>
        <v>found</v>
      </c>
    </row>
    <row r="340" spans="1:3" x14ac:dyDescent="0.5">
      <c r="A340" t="s">
        <v>2817</v>
      </c>
      <c r="B340" t="s">
        <v>729</v>
      </c>
      <c r="C340" s="4" t="str">
        <f>IF(ISERROR(_xlfn.XMATCH(B340,oldlist!B:B,0)),"not found","found")</f>
        <v>found</v>
      </c>
    </row>
    <row r="341" spans="1:3" x14ac:dyDescent="0.5">
      <c r="A341" t="s">
        <v>2817</v>
      </c>
      <c r="B341" t="s">
        <v>125</v>
      </c>
      <c r="C341" s="4" t="str">
        <f>IF(ISERROR(_xlfn.XMATCH(B341,oldlist!B:B,0)),"not found","found")</f>
        <v>found</v>
      </c>
    </row>
    <row r="342" spans="1:3" x14ac:dyDescent="0.5">
      <c r="A342" t="s">
        <v>2817</v>
      </c>
      <c r="B342" t="s">
        <v>1042</v>
      </c>
      <c r="C342" s="4" t="str">
        <f>IF(ISERROR(_xlfn.XMATCH(B342,oldlist!B:B,0)),"not found","found")</f>
        <v>not found</v>
      </c>
    </row>
    <row r="343" spans="1:3" x14ac:dyDescent="0.5">
      <c r="A343" t="s">
        <v>2817</v>
      </c>
      <c r="B343" t="s">
        <v>876</v>
      </c>
      <c r="C343" s="4" t="str">
        <f>IF(ISERROR(_xlfn.XMATCH(B343,oldlist!B:B,0)),"not found","found")</f>
        <v>found</v>
      </c>
    </row>
    <row r="344" spans="1:3" x14ac:dyDescent="0.5">
      <c r="A344" t="s">
        <v>2817</v>
      </c>
      <c r="B344" t="s">
        <v>821</v>
      </c>
      <c r="C344" s="4" t="str">
        <f>IF(ISERROR(_xlfn.XMATCH(B344,oldlist!B:B,0)),"not found","found")</f>
        <v>found</v>
      </c>
    </row>
    <row r="345" spans="1:3" x14ac:dyDescent="0.5">
      <c r="A345" t="s">
        <v>2817</v>
      </c>
      <c r="B345" t="s">
        <v>844</v>
      </c>
      <c r="C345" s="4" t="str">
        <f>IF(ISERROR(_xlfn.XMATCH(B345,oldlist!B:B,0)),"not found","found")</f>
        <v>found</v>
      </c>
    </row>
    <row r="346" spans="1:3" x14ac:dyDescent="0.5">
      <c r="A346" t="s">
        <v>2817</v>
      </c>
      <c r="B346" t="s">
        <v>216</v>
      </c>
      <c r="C346" s="4" t="str">
        <f>IF(ISERROR(_xlfn.XMATCH(B346,oldlist!B:B,0)),"not found","found")</f>
        <v>found</v>
      </c>
    </row>
    <row r="347" spans="1:3" x14ac:dyDescent="0.5">
      <c r="A347" t="s">
        <v>2817</v>
      </c>
      <c r="B347" t="s">
        <v>315</v>
      </c>
      <c r="C347" s="4" t="str">
        <f>IF(ISERROR(_xlfn.XMATCH(B347,oldlist!B:B,0)),"not found","found")</f>
        <v>found</v>
      </c>
    </row>
    <row r="348" spans="1:3" x14ac:dyDescent="0.5">
      <c r="A348" t="s">
        <v>2817</v>
      </c>
      <c r="B348" t="s">
        <v>715</v>
      </c>
      <c r="C348" s="4" t="str">
        <f>IF(ISERROR(_xlfn.XMATCH(B348,oldlist!B:B,0)),"not found","found")</f>
        <v>found</v>
      </c>
    </row>
    <row r="349" spans="1:3" x14ac:dyDescent="0.5">
      <c r="A349" t="s">
        <v>2817</v>
      </c>
      <c r="B349" t="s">
        <v>893</v>
      </c>
      <c r="C349" s="4" t="str">
        <f>IF(ISERROR(_xlfn.XMATCH(B349,oldlist!B:B,0)),"not found","found")</f>
        <v>found</v>
      </c>
    </row>
    <row r="350" spans="1:3" x14ac:dyDescent="0.5">
      <c r="A350" t="s">
        <v>2817</v>
      </c>
      <c r="B350" t="s">
        <v>895</v>
      </c>
      <c r="C350" s="4" t="str">
        <f>IF(ISERROR(_xlfn.XMATCH(B350,oldlist!B:B,0)),"not found","found")</f>
        <v>found</v>
      </c>
    </row>
    <row r="351" spans="1:3" x14ac:dyDescent="0.5">
      <c r="A351" t="s">
        <v>2817</v>
      </c>
      <c r="B351" t="s">
        <v>587</v>
      </c>
      <c r="C351" s="4" t="str">
        <f>IF(ISERROR(_xlfn.XMATCH(B351,oldlist!B:B,0)),"not found","found")</f>
        <v>found</v>
      </c>
    </row>
    <row r="352" spans="1:3" x14ac:dyDescent="0.5">
      <c r="A352" t="s">
        <v>2817</v>
      </c>
      <c r="B352" t="s">
        <v>579</v>
      </c>
      <c r="C352" s="4" t="str">
        <f>IF(ISERROR(_xlfn.XMATCH(B352,oldlist!B:B,0)),"not found","found")</f>
        <v>found</v>
      </c>
    </row>
    <row r="353" spans="1:3" x14ac:dyDescent="0.5">
      <c r="A353" t="s">
        <v>2817</v>
      </c>
      <c r="B353" t="s">
        <v>553</v>
      </c>
      <c r="C353" s="4" t="str">
        <f>IF(ISERROR(_xlfn.XMATCH(B353,oldlist!B:B,0)),"not found","found")</f>
        <v>found</v>
      </c>
    </row>
    <row r="354" spans="1:3" x14ac:dyDescent="0.5">
      <c r="A354" t="s">
        <v>2817</v>
      </c>
      <c r="B354" t="s">
        <v>299</v>
      </c>
      <c r="C354" s="4" t="str">
        <f>IF(ISERROR(_xlfn.XMATCH(B354,oldlist!B:B,0)),"not found","found")</f>
        <v>found</v>
      </c>
    </row>
    <row r="355" spans="1:3" x14ac:dyDescent="0.5">
      <c r="A355" t="s">
        <v>2817</v>
      </c>
      <c r="B355" t="s">
        <v>99</v>
      </c>
      <c r="C355" s="4" t="str">
        <f>IF(ISERROR(_xlfn.XMATCH(B355,oldlist!B:B,0)),"not found","found")</f>
        <v>found</v>
      </c>
    </row>
    <row r="356" spans="1:3" x14ac:dyDescent="0.5">
      <c r="A356" t="s">
        <v>2817</v>
      </c>
      <c r="B356" t="s">
        <v>967</v>
      </c>
      <c r="C356" s="4" t="str">
        <f>IF(ISERROR(_xlfn.XMATCH(B356,oldlist!B:B,0)),"not found","found")</f>
        <v>found</v>
      </c>
    </row>
    <row r="357" spans="1:3" x14ac:dyDescent="0.5">
      <c r="A357" t="s">
        <v>2817</v>
      </c>
      <c r="B357" t="s">
        <v>119</v>
      </c>
      <c r="C357" s="4" t="str">
        <f>IF(ISERROR(_xlfn.XMATCH(B357,oldlist!B:B,0)),"not found","found")</f>
        <v>found</v>
      </c>
    </row>
    <row r="358" spans="1:3" x14ac:dyDescent="0.5">
      <c r="A358" t="s">
        <v>2817</v>
      </c>
      <c r="B358" t="s">
        <v>261</v>
      </c>
      <c r="C358" s="4" t="str">
        <f>IF(ISERROR(_xlfn.XMATCH(B358,oldlist!B:B,0)),"not found","found")</f>
        <v>found</v>
      </c>
    </row>
    <row r="359" spans="1:3" x14ac:dyDescent="0.5">
      <c r="A359" t="s">
        <v>2817</v>
      </c>
      <c r="B359" t="s">
        <v>391</v>
      </c>
      <c r="C359" s="4" t="str">
        <f>IF(ISERROR(_xlfn.XMATCH(B359,oldlist!B:B,0)),"not found","found")</f>
        <v>found</v>
      </c>
    </row>
    <row r="360" spans="1:3" x14ac:dyDescent="0.5">
      <c r="A360" t="s">
        <v>2817</v>
      </c>
      <c r="B360" t="s">
        <v>537</v>
      </c>
      <c r="C360" s="4" t="str">
        <f>IF(ISERROR(_xlfn.XMATCH(B360,oldlist!B:B,0)),"not found","found")</f>
        <v>found</v>
      </c>
    </row>
    <row r="361" spans="1:3" x14ac:dyDescent="0.5">
      <c r="A361" t="s">
        <v>2817</v>
      </c>
      <c r="B361" t="s">
        <v>937</v>
      </c>
      <c r="C361" s="4" t="str">
        <f>IF(ISERROR(_xlfn.XMATCH(B361,oldlist!B:B,0)),"not found","found")</f>
        <v>found</v>
      </c>
    </row>
    <row r="362" spans="1:3" x14ac:dyDescent="0.5">
      <c r="A362" t="s">
        <v>2817</v>
      </c>
      <c r="B362" t="s">
        <v>269</v>
      </c>
      <c r="C362" s="4" t="str">
        <f>IF(ISERROR(_xlfn.XMATCH(B362,oldlist!B:B,0)),"not found","found")</f>
        <v>found</v>
      </c>
    </row>
    <row r="363" spans="1:3" x14ac:dyDescent="0.5">
      <c r="A363" t="s">
        <v>2817</v>
      </c>
      <c r="B363" t="s">
        <v>488</v>
      </c>
      <c r="C363" s="4" t="str">
        <f>IF(ISERROR(_xlfn.XMATCH(B363,oldlist!B:B,0)),"not found","found")</f>
        <v>found</v>
      </c>
    </row>
    <row r="364" spans="1:3" x14ac:dyDescent="0.5">
      <c r="A364" t="s">
        <v>2817</v>
      </c>
      <c r="B364" t="s">
        <v>425</v>
      </c>
      <c r="C364" s="4" t="str">
        <f>IF(ISERROR(_xlfn.XMATCH(B364,oldlist!B:B,0)),"not found","found")</f>
        <v>found</v>
      </c>
    </row>
    <row r="365" spans="1:3" x14ac:dyDescent="0.5">
      <c r="A365" t="s">
        <v>2817</v>
      </c>
      <c r="B365" t="s">
        <v>837</v>
      </c>
      <c r="C365" s="4" t="str">
        <f>IF(ISERROR(_xlfn.XMATCH(B365,oldlist!B:B,0)),"not found","found")</f>
        <v>found</v>
      </c>
    </row>
    <row r="366" spans="1:3" x14ac:dyDescent="0.5">
      <c r="A366" t="s">
        <v>2817</v>
      </c>
      <c r="B366" t="s">
        <v>759</v>
      </c>
      <c r="C366" s="4" t="str">
        <f>IF(ISERROR(_xlfn.XMATCH(B366,oldlist!B:B,0)),"not found","found")</f>
        <v>found</v>
      </c>
    </row>
    <row r="367" spans="1:3" x14ac:dyDescent="0.5">
      <c r="A367" t="s">
        <v>2817</v>
      </c>
      <c r="B367" t="s">
        <v>679</v>
      </c>
      <c r="C367" s="4" t="str">
        <f>IF(ISERROR(_xlfn.XMATCH(B367,oldlist!B:B,0)),"not found","found")</f>
        <v>found</v>
      </c>
    </row>
    <row r="368" spans="1:3" x14ac:dyDescent="0.5">
      <c r="A368" t="s">
        <v>2817</v>
      </c>
      <c r="B368" t="s">
        <v>153</v>
      </c>
      <c r="C368" s="4" t="str">
        <f>IF(ISERROR(_xlfn.XMATCH(B368,oldlist!B:B,0)),"not found","found")</f>
        <v>found</v>
      </c>
    </row>
    <row r="369" spans="1:3" x14ac:dyDescent="0.5">
      <c r="A369" t="s">
        <v>2817</v>
      </c>
      <c r="B369" t="s">
        <v>511</v>
      </c>
      <c r="C369" s="4" t="str">
        <f>IF(ISERROR(_xlfn.XMATCH(B369,oldlist!B:B,0)),"not found","found")</f>
        <v>found</v>
      </c>
    </row>
    <row r="370" spans="1:3" x14ac:dyDescent="0.5">
      <c r="A370" t="s">
        <v>2817</v>
      </c>
      <c r="B370" t="s">
        <v>107</v>
      </c>
      <c r="C370" s="4" t="str">
        <f>IF(ISERROR(_xlfn.XMATCH(B370,oldlist!B:B,0)),"not found","found")</f>
        <v>found</v>
      </c>
    </row>
    <row r="371" spans="1:3" x14ac:dyDescent="0.5">
      <c r="A371" t="s">
        <v>2817</v>
      </c>
      <c r="B371" t="s">
        <v>91</v>
      </c>
      <c r="C371" s="4" t="str">
        <f>IF(ISERROR(_xlfn.XMATCH(B371,oldlist!B:B,0)),"not found","found")</f>
        <v>found</v>
      </c>
    </row>
    <row r="372" spans="1:3" x14ac:dyDescent="0.5">
      <c r="A372" t="s">
        <v>2817</v>
      </c>
      <c r="B372" t="s">
        <v>628</v>
      </c>
      <c r="C372" s="4" t="str">
        <f>IF(ISERROR(_xlfn.XMATCH(B372,oldlist!B:B,0)),"not found","found")</f>
        <v>found</v>
      </c>
    </row>
    <row r="373" spans="1:3" x14ac:dyDescent="0.5">
      <c r="A373" t="s">
        <v>2817</v>
      </c>
      <c r="B373" t="s">
        <v>395</v>
      </c>
      <c r="C373" s="4" t="str">
        <f>IF(ISERROR(_xlfn.XMATCH(B373,oldlist!B:B,0)),"not found","found")</f>
        <v>found</v>
      </c>
    </row>
    <row r="374" spans="1:3" x14ac:dyDescent="0.5">
      <c r="A374" t="s">
        <v>2817</v>
      </c>
      <c r="B374" t="s">
        <v>1030</v>
      </c>
      <c r="C374" s="4" t="str">
        <f>IF(ISERROR(_xlfn.XMATCH(B374,oldlist!B:B,0)),"not found","found")</f>
        <v>found</v>
      </c>
    </row>
    <row r="375" spans="1:3" x14ac:dyDescent="0.5">
      <c r="A375" t="s">
        <v>2817</v>
      </c>
      <c r="B375" t="s">
        <v>575</v>
      </c>
      <c r="C375" s="4" t="str">
        <f>IF(ISERROR(_xlfn.XMATCH(B375,oldlist!B:B,0)),"not found","found")</f>
        <v>found</v>
      </c>
    </row>
    <row r="376" spans="1:3" x14ac:dyDescent="0.5">
      <c r="A376" t="s">
        <v>2817</v>
      </c>
      <c r="B376" t="s">
        <v>543</v>
      </c>
      <c r="C376" s="4" t="str">
        <f>IF(ISERROR(_xlfn.XMATCH(B376,oldlist!B:B,0)),"not found","found")</f>
        <v>found</v>
      </c>
    </row>
    <row r="377" spans="1:3" x14ac:dyDescent="0.5">
      <c r="A377" t="s">
        <v>2817</v>
      </c>
      <c r="B377" t="s">
        <v>795</v>
      </c>
      <c r="C377" s="4" t="str">
        <f>IF(ISERROR(_xlfn.XMATCH(B377,oldlist!B:B,0)),"not found","found")</f>
        <v>found</v>
      </c>
    </row>
    <row r="378" spans="1:3" x14ac:dyDescent="0.5">
      <c r="A378" t="s">
        <v>2817</v>
      </c>
      <c r="B378" t="s">
        <v>899</v>
      </c>
      <c r="C378" s="4" t="str">
        <f>IF(ISERROR(_xlfn.XMATCH(B378,oldlist!B:B,0)),"not found","found")</f>
        <v>found</v>
      </c>
    </row>
    <row r="379" spans="1:3" x14ac:dyDescent="0.5">
      <c r="A379" t="s">
        <v>2817</v>
      </c>
      <c r="B379" t="s">
        <v>689</v>
      </c>
      <c r="C379" s="4" t="str">
        <f>IF(ISERROR(_xlfn.XMATCH(B379,oldlist!B:B,0)),"not found","found")</f>
        <v>found</v>
      </c>
    </row>
    <row r="380" spans="1:3" x14ac:dyDescent="0.5">
      <c r="A380" t="s">
        <v>2817</v>
      </c>
      <c r="B380" t="s">
        <v>551</v>
      </c>
      <c r="C380" s="4" t="str">
        <f>IF(ISERROR(_xlfn.XMATCH(B380,oldlist!B:B,0)),"not found","found")</f>
        <v>found</v>
      </c>
    </row>
    <row r="381" spans="1:3" x14ac:dyDescent="0.5">
      <c r="A381" t="s">
        <v>2817</v>
      </c>
      <c r="B381" t="s">
        <v>59</v>
      </c>
      <c r="C381" s="4" t="str">
        <f>IF(ISERROR(_xlfn.XMATCH(B381,oldlist!B:B,0)),"not found","found")</f>
        <v>found</v>
      </c>
    </row>
    <row r="382" spans="1:3" x14ac:dyDescent="0.5">
      <c r="A382" t="s">
        <v>2817</v>
      </c>
      <c r="B382" t="s">
        <v>630</v>
      </c>
      <c r="C382" s="4" t="str">
        <f>IF(ISERROR(_xlfn.XMATCH(B382,oldlist!B:B,0)),"not found","found")</f>
        <v>found</v>
      </c>
    </row>
    <row r="383" spans="1:3" x14ac:dyDescent="0.5">
      <c r="A383" t="s">
        <v>2817</v>
      </c>
      <c r="B383" t="s">
        <v>707</v>
      </c>
      <c r="C383" s="4" t="str">
        <f>IF(ISERROR(_xlfn.XMATCH(B383,oldlist!B:B,0)),"not found","found")</f>
        <v>found</v>
      </c>
    </row>
    <row r="384" spans="1:3" x14ac:dyDescent="0.5">
      <c r="A384" t="s">
        <v>2817</v>
      </c>
      <c r="B384" t="s">
        <v>451</v>
      </c>
      <c r="C384" s="4" t="str">
        <f>IF(ISERROR(_xlfn.XMATCH(B384,oldlist!B:B,0)),"not found","found")</f>
        <v>found</v>
      </c>
    </row>
    <row r="385" spans="1:3" x14ac:dyDescent="0.5">
      <c r="A385" t="s">
        <v>2817</v>
      </c>
      <c r="B385" t="s">
        <v>805</v>
      </c>
      <c r="C385" s="4" t="str">
        <f>IF(ISERROR(_xlfn.XMATCH(B385,oldlist!B:B,0)),"not found","found")</f>
        <v>found</v>
      </c>
    </row>
    <row r="386" spans="1:3" x14ac:dyDescent="0.5">
      <c r="A386" t="s">
        <v>2817</v>
      </c>
      <c r="B386" t="s">
        <v>789</v>
      </c>
      <c r="C386" s="4" t="str">
        <f>IF(ISERROR(_xlfn.XMATCH(B386,oldlist!B:B,0)),"not found","found")</f>
        <v>found</v>
      </c>
    </row>
    <row r="387" spans="1:3" x14ac:dyDescent="0.5">
      <c r="A387" t="s">
        <v>2817</v>
      </c>
      <c r="B387" t="s">
        <v>151</v>
      </c>
      <c r="C387" s="4" t="str">
        <f>IF(ISERROR(_xlfn.XMATCH(B387,oldlist!B:B,0)),"not found","found")</f>
        <v>found</v>
      </c>
    </row>
    <row r="388" spans="1:3" x14ac:dyDescent="0.5">
      <c r="A388" t="s">
        <v>2817</v>
      </c>
      <c r="B388" t="s">
        <v>179</v>
      </c>
      <c r="C388" s="4" t="str">
        <f>IF(ISERROR(_xlfn.XMATCH(B388,oldlist!B:B,0)),"not found","found")</f>
        <v>found</v>
      </c>
    </row>
    <row r="389" spans="1:3" x14ac:dyDescent="0.5">
      <c r="A389" t="s">
        <v>2817</v>
      </c>
      <c r="B389" t="s">
        <v>963</v>
      </c>
      <c r="C389" s="4" t="str">
        <f>IF(ISERROR(_xlfn.XMATCH(B389,oldlist!B:B,0)),"not found","found")</f>
        <v>found</v>
      </c>
    </row>
    <row r="390" spans="1:3" x14ac:dyDescent="0.5">
      <c r="A390" t="s">
        <v>2817</v>
      </c>
      <c r="B390" t="s">
        <v>131</v>
      </c>
      <c r="C390" s="4" t="str">
        <f>IF(ISERROR(_xlfn.XMATCH(B390,oldlist!B:B,0)),"not found","found")</f>
        <v>found</v>
      </c>
    </row>
    <row r="391" spans="1:3" x14ac:dyDescent="0.5">
      <c r="A391" t="s">
        <v>2817</v>
      </c>
      <c r="B391" t="s">
        <v>323</v>
      </c>
      <c r="C391" s="4" t="str">
        <f>IF(ISERROR(_xlfn.XMATCH(B391,oldlist!B:B,0)),"not found","found")</f>
        <v>found</v>
      </c>
    </row>
    <row r="392" spans="1:3" x14ac:dyDescent="0.5">
      <c r="A392" t="s">
        <v>2817</v>
      </c>
      <c r="B392" t="s">
        <v>741</v>
      </c>
      <c r="C392" s="4" t="str">
        <f>IF(ISERROR(_xlfn.XMATCH(B392,oldlist!B:B,0)),"not found","found")</f>
        <v>found</v>
      </c>
    </row>
    <row r="393" spans="1:3" x14ac:dyDescent="0.5">
      <c r="A393" t="s">
        <v>2817</v>
      </c>
      <c r="B393" t="s">
        <v>1004</v>
      </c>
      <c r="C393" s="4" t="str">
        <f>IF(ISERROR(_xlfn.XMATCH(B393,oldlist!B:B,0)),"not found","found")</f>
        <v>found</v>
      </c>
    </row>
    <row r="394" spans="1:3" x14ac:dyDescent="0.5">
      <c r="A394" t="s">
        <v>2817</v>
      </c>
      <c r="B394" t="s">
        <v>305</v>
      </c>
      <c r="C394" s="4" t="str">
        <f>IF(ISERROR(_xlfn.XMATCH(B394,oldlist!B:B,0)),"not found","found")</f>
        <v>found</v>
      </c>
    </row>
    <row r="395" spans="1:3" x14ac:dyDescent="0.5">
      <c r="A395" t="s">
        <v>2817</v>
      </c>
      <c r="B395" t="s">
        <v>620</v>
      </c>
      <c r="C395" s="4" t="str">
        <f>IF(ISERROR(_xlfn.XMATCH(B395,oldlist!B:B,0)),"not found","found")</f>
        <v>found</v>
      </c>
    </row>
    <row r="396" spans="1:3" x14ac:dyDescent="0.5">
      <c r="A396" t="s">
        <v>2817</v>
      </c>
      <c r="B396" t="s">
        <v>1040</v>
      </c>
      <c r="C396" s="4" t="str">
        <f>IF(ISERROR(_xlfn.XMATCH(B396,oldlist!B:B,0)),"not found","found")</f>
        <v>found</v>
      </c>
    </row>
    <row r="397" spans="1:3" x14ac:dyDescent="0.5">
      <c r="A397" t="s">
        <v>2817</v>
      </c>
      <c r="B397" t="s">
        <v>486</v>
      </c>
      <c r="C397" s="4" t="str">
        <f>IF(ISERROR(_xlfn.XMATCH(B397,oldlist!B:B,0)),"not found","found")</f>
        <v>found</v>
      </c>
    </row>
    <row r="398" spans="1:3" x14ac:dyDescent="0.5">
      <c r="A398" t="s">
        <v>2817</v>
      </c>
      <c r="B398" t="s">
        <v>369</v>
      </c>
      <c r="C398" s="4" t="str">
        <f>IF(ISERROR(_xlfn.XMATCH(B398,oldlist!B:B,0)),"not found","found")</f>
        <v>found</v>
      </c>
    </row>
    <row r="399" spans="1:3" x14ac:dyDescent="0.5">
      <c r="A399" t="s">
        <v>2817</v>
      </c>
      <c r="B399" t="s">
        <v>155</v>
      </c>
      <c r="C399" s="4" t="str">
        <f>IF(ISERROR(_xlfn.XMATCH(B399,oldlist!B:B,0)),"not found","found")</f>
        <v>found</v>
      </c>
    </row>
    <row r="400" spans="1:3" x14ac:dyDescent="0.5">
      <c r="A400" t="s">
        <v>2817</v>
      </c>
      <c r="B400" t="s">
        <v>449</v>
      </c>
      <c r="C400" s="4" t="str">
        <f>IF(ISERROR(_xlfn.XMATCH(B400,oldlist!B:B,0)),"not found","found")</f>
        <v>found</v>
      </c>
    </row>
    <row r="401" spans="1:3" x14ac:dyDescent="0.5">
      <c r="A401" t="s">
        <v>2817</v>
      </c>
      <c r="B401" t="s">
        <v>1002</v>
      </c>
      <c r="C401" s="4" t="str">
        <f>IF(ISERROR(_xlfn.XMATCH(B401,oldlist!B:B,0)),"not found","found")</f>
        <v>found</v>
      </c>
    </row>
    <row r="402" spans="1:3" x14ac:dyDescent="0.5">
      <c r="A402" t="s">
        <v>2817</v>
      </c>
      <c r="B402" t="s">
        <v>359</v>
      </c>
      <c r="C402" s="4" t="str">
        <f>IF(ISERROR(_xlfn.XMATCH(B402,oldlist!B:B,0)),"not found","found")</f>
        <v>found</v>
      </c>
    </row>
    <row r="403" spans="1:3" x14ac:dyDescent="0.5">
      <c r="A403" t="s">
        <v>2817</v>
      </c>
      <c r="B403" t="s">
        <v>297</v>
      </c>
      <c r="C403" s="4" t="str">
        <f>IF(ISERROR(_xlfn.XMATCH(B403,oldlist!B:B,0)),"not found","found")</f>
        <v>found</v>
      </c>
    </row>
    <row r="404" spans="1:3" x14ac:dyDescent="0.5">
      <c r="A404" t="s">
        <v>2817</v>
      </c>
      <c r="B404" t="s">
        <v>462</v>
      </c>
      <c r="C404" s="4" t="str">
        <f>IF(ISERROR(_xlfn.XMATCH(B404,oldlist!B:B,0)),"not found","found")</f>
        <v>found</v>
      </c>
    </row>
    <row r="405" spans="1:3" x14ac:dyDescent="0.5">
      <c r="A405" t="s">
        <v>2817</v>
      </c>
      <c r="B405" t="s">
        <v>257</v>
      </c>
      <c r="C405" s="4" t="str">
        <f>IF(ISERROR(_xlfn.XMATCH(B405,oldlist!B:B,0)),"not found","found")</f>
        <v>found</v>
      </c>
    </row>
    <row r="406" spans="1:3" x14ac:dyDescent="0.5">
      <c r="A406" t="s">
        <v>2817</v>
      </c>
      <c r="B406" t="s">
        <v>868</v>
      </c>
      <c r="C406" s="4" t="str">
        <f>IF(ISERROR(_xlfn.XMATCH(B406,oldlist!B:B,0)),"not found","found")</f>
        <v>found</v>
      </c>
    </row>
    <row r="407" spans="1:3" x14ac:dyDescent="0.5">
      <c r="A407" t="s">
        <v>2817</v>
      </c>
      <c r="B407" t="s">
        <v>994</v>
      </c>
      <c r="C407" s="4" t="str">
        <f>IF(ISERROR(_xlfn.XMATCH(B407,oldlist!B:B,0)),"not found","found")</f>
        <v>found</v>
      </c>
    </row>
    <row r="408" spans="1:3" x14ac:dyDescent="0.5">
      <c r="A408" t="s">
        <v>2817</v>
      </c>
      <c r="B408" t="s">
        <v>198</v>
      </c>
      <c r="C408" s="4" t="str">
        <f>IF(ISERROR(_xlfn.XMATCH(B408,oldlist!B:B,0)),"not found","found")</f>
        <v>found</v>
      </c>
    </row>
    <row r="409" spans="1:3" x14ac:dyDescent="0.5">
      <c r="A409" t="s">
        <v>2817</v>
      </c>
      <c r="B409" t="s">
        <v>665</v>
      </c>
      <c r="C409" s="4" t="str">
        <f>IF(ISERROR(_xlfn.XMATCH(B409,oldlist!B:B,0)),"not found","found")</f>
        <v>found</v>
      </c>
    </row>
    <row r="410" spans="1:3" x14ac:dyDescent="0.5">
      <c r="A410" t="s">
        <v>2817</v>
      </c>
      <c r="B410" t="s">
        <v>872</v>
      </c>
      <c r="C410" s="4" t="str">
        <f>IF(ISERROR(_xlfn.XMATCH(B410,oldlist!B:B,0)),"not found","found")</f>
        <v>found</v>
      </c>
    </row>
    <row r="411" spans="1:3" x14ac:dyDescent="0.5">
      <c r="A411" t="s">
        <v>2817</v>
      </c>
      <c r="B411" t="s">
        <v>208</v>
      </c>
      <c r="C411" s="4" t="str">
        <f>IF(ISERROR(_xlfn.XMATCH(B411,oldlist!B:B,0)),"not found","found")</f>
        <v>found</v>
      </c>
    </row>
    <row r="412" spans="1:3" x14ac:dyDescent="0.5">
      <c r="A412" t="s">
        <v>2817</v>
      </c>
      <c r="B412" t="s">
        <v>347</v>
      </c>
      <c r="C412" s="4" t="str">
        <f>IF(ISERROR(_xlfn.XMATCH(B412,oldlist!B:B,0)),"not found","found")</f>
        <v>found</v>
      </c>
    </row>
    <row r="413" spans="1:3" x14ac:dyDescent="0.5">
      <c r="A413" t="s">
        <v>2817</v>
      </c>
      <c r="B413" t="s">
        <v>75</v>
      </c>
      <c r="C413" s="4" t="str">
        <f>IF(ISERROR(_xlfn.XMATCH(B413,oldlist!B:B,0)),"not found","found")</f>
        <v>found</v>
      </c>
    </row>
    <row r="414" spans="1:3" x14ac:dyDescent="0.5">
      <c r="A414" t="s">
        <v>2817</v>
      </c>
      <c r="B414" t="s">
        <v>427</v>
      </c>
      <c r="C414" s="4" t="str">
        <f>IF(ISERROR(_xlfn.XMATCH(B414,oldlist!B:B,0)),"not found","found")</f>
        <v>found</v>
      </c>
    </row>
    <row r="415" spans="1:3" x14ac:dyDescent="0.5">
      <c r="A415" t="s">
        <v>2817</v>
      </c>
      <c r="B415" t="s">
        <v>771</v>
      </c>
      <c r="C415" s="4" t="str">
        <f>IF(ISERROR(_xlfn.XMATCH(B415,oldlist!B:B,0)),"not found","found")</f>
        <v>found</v>
      </c>
    </row>
    <row r="416" spans="1:3" x14ac:dyDescent="0.5">
      <c r="A416" t="s">
        <v>2817</v>
      </c>
      <c r="B416" t="s">
        <v>610</v>
      </c>
      <c r="C416" s="4" t="str">
        <f>IF(ISERROR(_xlfn.XMATCH(B416,oldlist!B:B,0)),"not found","found")</f>
        <v>found</v>
      </c>
    </row>
    <row r="417" spans="1:3" x14ac:dyDescent="0.5">
      <c r="A417" t="s">
        <v>2817</v>
      </c>
      <c r="B417" t="s">
        <v>649</v>
      </c>
      <c r="C417" s="4" t="str">
        <f>IF(ISERROR(_xlfn.XMATCH(B417,oldlist!B:B,0)),"not found","found")</f>
        <v>found</v>
      </c>
    </row>
    <row r="418" spans="1:3" x14ac:dyDescent="0.5">
      <c r="A418" t="s">
        <v>2817</v>
      </c>
      <c r="B418" t="s">
        <v>54</v>
      </c>
      <c r="C418" s="4" t="str">
        <f>IF(ISERROR(_xlfn.XMATCH(B418,oldlist!B:B,0)),"not found","found")</f>
        <v>found</v>
      </c>
    </row>
    <row r="419" spans="1:3" x14ac:dyDescent="0.5">
      <c r="A419" t="s">
        <v>2817</v>
      </c>
      <c r="B419" t="s">
        <v>701</v>
      </c>
      <c r="C419" s="4" t="str">
        <f>IF(ISERROR(_xlfn.XMATCH(B419,oldlist!B:B,0)),"not found","found")</f>
        <v>found</v>
      </c>
    </row>
    <row r="420" spans="1:3" x14ac:dyDescent="0.5">
      <c r="A420" t="s">
        <v>2817</v>
      </c>
      <c r="B420" t="s">
        <v>567</v>
      </c>
      <c r="C420" s="4" t="str">
        <f>IF(ISERROR(_xlfn.XMATCH(B420,oldlist!B:B,0)),"not found","found")</f>
        <v>found</v>
      </c>
    </row>
    <row r="421" spans="1:3" x14ac:dyDescent="0.5">
      <c r="A421" t="s">
        <v>2817</v>
      </c>
      <c r="B421" t="s">
        <v>671</v>
      </c>
      <c r="C421" s="4" t="str">
        <f>IF(ISERROR(_xlfn.XMATCH(B421,oldlist!B:B,0)),"not found","found")</f>
        <v>found</v>
      </c>
    </row>
    <row r="422" spans="1:3" x14ac:dyDescent="0.5">
      <c r="A422" t="s">
        <v>2817</v>
      </c>
      <c r="B422" t="s">
        <v>669</v>
      </c>
      <c r="C422" s="4" t="str">
        <f>IF(ISERROR(_xlfn.XMATCH(B422,oldlist!B:B,0)),"not found","found")</f>
        <v>found</v>
      </c>
    </row>
    <row r="423" spans="1:3" x14ac:dyDescent="0.5">
      <c r="A423" t="s">
        <v>2817</v>
      </c>
      <c r="B423" t="s">
        <v>569</v>
      </c>
      <c r="C423" s="4" t="str">
        <f>IF(ISERROR(_xlfn.XMATCH(B423,oldlist!B:B,0)),"not found","found")</f>
        <v>found</v>
      </c>
    </row>
    <row r="424" spans="1:3" x14ac:dyDescent="0.5">
      <c r="A424" t="s">
        <v>2817</v>
      </c>
      <c r="B424" t="s">
        <v>775</v>
      </c>
      <c r="C424" s="4" t="str">
        <f>IF(ISERROR(_xlfn.XMATCH(B424,oldlist!B:B,0)),"not found","found")</f>
        <v>found</v>
      </c>
    </row>
    <row r="425" spans="1:3" x14ac:dyDescent="0.5">
      <c r="A425" t="s">
        <v>2817</v>
      </c>
      <c r="B425" t="s">
        <v>870</v>
      </c>
      <c r="C425" s="4" t="str">
        <f>IF(ISERROR(_xlfn.XMATCH(B425,oldlist!B:B,0)),"not found","found")</f>
        <v>found</v>
      </c>
    </row>
    <row r="426" spans="1:3" x14ac:dyDescent="0.5">
      <c r="A426" t="s">
        <v>2817</v>
      </c>
      <c r="B426" t="s">
        <v>333</v>
      </c>
      <c r="C426" s="4" t="str">
        <f>IF(ISERROR(_xlfn.XMATCH(B426,oldlist!B:B,0)),"not found","found")</f>
        <v>found</v>
      </c>
    </row>
    <row r="427" spans="1:3" x14ac:dyDescent="0.5">
      <c r="A427" t="s">
        <v>2817</v>
      </c>
      <c r="B427" t="s">
        <v>831</v>
      </c>
      <c r="C427" s="4" t="str">
        <f>IF(ISERROR(_xlfn.XMATCH(B427,oldlist!B:B,0)),"not found","found")</f>
        <v>found</v>
      </c>
    </row>
    <row r="428" spans="1:3" x14ac:dyDescent="0.5">
      <c r="A428" t="s">
        <v>2817</v>
      </c>
      <c r="B428" t="s">
        <v>986</v>
      </c>
      <c r="C428" s="4" t="str">
        <f>IF(ISERROR(_xlfn.XMATCH(B428,oldlist!B:B,0)),"not found","found")</f>
        <v>found</v>
      </c>
    </row>
    <row r="429" spans="1:3" x14ac:dyDescent="0.5">
      <c r="A429" t="s">
        <v>2817</v>
      </c>
      <c r="B429" t="s">
        <v>731</v>
      </c>
      <c r="C429" s="4" t="str">
        <f>IF(ISERROR(_xlfn.XMATCH(B429,oldlist!B:B,0)),"not found","found")</f>
        <v>found</v>
      </c>
    </row>
    <row r="430" spans="1:3" x14ac:dyDescent="0.5">
      <c r="A430" t="s">
        <v>2817</v>
      </c>
      <c r="B430" t="s">
        <v>291</v>
      </c>
      <c r="C430" s="4" t="str">
        <f>IF(ISERROR(_xlfn.XMATCH(B430,oldlist!B:B,0)),"not found","found")</f>
        <v>found</v>
      </c>
    </row>
    <row r="431" spans="1:3" x14ac:dyDescent="0.5">
      <c r="A431" t="s">
        <v>2817</v>
      </c>
      <c r="B431" t="s">
        <v>441</v>
      </c>
      <c r="C431" s="4" t="str">
        <f>IF(ISERROR(_xlfn.XMATCH(B431,oldlist!B:B,0)),"not found","found")</f>
        <v>found</v>
      </c>
    </row>
    <row r="432" spans="1:3" x14ac:dyDescent="0.5">
      <c r="A432" t="s">
        <v>2817</v>
      </c>
      <c r="B432" t="s">
        <v>980</v>
      </c>
      <c r="C432" s="4" t="str">
        <f>IF(ISERROR(_xlfn.XMATCH(B432,oldlist!B:B,0)),"not found","found")</f>
        <v>found</v>
      </c>
    </row>
    <row r="433" spans="1:3" x14ac:dyDescent="0.5">
      <c r="A433" t="s">
        <v>2817</v>
      </c>
      <c r="B433" t="s">
        <v>23</v>
      </c>
      <c r="C433" s="4" t="str">
        <f>IF(ISERROR(_xlfn.XMATCH(B433,oldlist!B:B,0)),"not found","found")</f>
        <v>found</v>
      </c>
    </row>
    <row r="434" spans="1:3" x14ac:dyDescent="0.5">
      <c r="A434" t="s">
        <v>2817</v>
      </c>
      <c r="B434" t="s">
        <v>145</v>
      </c>
      <c r="C434" s="4" t="str">
        <f>IF(ISERROR(_xlfn.XMATCH(B434,oldlist!B:B,0)),"not found","found")</f>
        <v>found</v>
      </c>
    </row>
    <row r="435" spans="1:3" x14ac:dyDescent="0.5">
      <c r="A435" t="s">
        <v>2817</v>
      </c>
      <c r="B435" t="s">
        <v>747</v>
      </c>
      <c r="C435" s="4" t="str">
        <f>IF(ISERROR(_xlfn.XMATCH(B435,oldlist!B:B,0)),"not found","found")</f>
        <v>found</v>
      </c>
    </row>
    <row r="436" spans="1:3" x14ac:dyDescent="0.5">
      <c r="A436" t="s">
        <v>2817</v>
      </c>
      <c r="B436" t="s">
        <v>523</v>
      </c>
      <c r="C436" s="4" t="str">
        <f>IF(ISERROR(_xlfn.XMATCH(B436,oldlist!B:B,0)),"not found","found")</f>
        <v>found</v>
      </c>
    </row>
    <row r="437" spans="1:3" x14ac:dyDescent="0.5">
      <c r="A437" t="s">
        <v>2817</v>
      </c>
      <c r="B437" t="s">
        <v>502</v>
      </c>
      <c r="C437" s="4" t="str">
        <f>IF(ISERROR(_xlfn.XMATCH(B437,oldlist!B:B,0)),"not found","found")</f>
        <v>found</v>
      </c>
    </row>
    <row r="438" spans="1:3" x14ac:dyDescent="0.5">
      <c r="A438" t="s">
        <v>2817</v>
      </c>
      <c r="B438" t="s">
        <v>385</v>
      </c>
      <c r="C438" s="4" t="str">
        <f>IF(ISERROR(_xlfn.XMATCH(B438,oldlist!B:B,0)),"not found","found")</f>
        <v>found</v>
      </c>
    </row>
    <row r="439" spans="1:3" x14ac:dyDescent="0.5">
      <c r="A439" t="s">
        <v>2817</v>
      </c>
      <c r="B439" t="s">
        <v>515</v>
      </c>
      <c r="C439" s="4" t="str">
        <f>IF(ISERROR(_xlfn.XMATCH(B439,oldlist!B:B,0)),"not found","found")</f>
        <v>found</v>
      </c>
    </row>
    <row r="440" spans="1:3" x14ac:dyDescent="0.5">
      <c r="A440" t="s">
        <v>2817</v>
      </c>
      <c r="B440" t="s">
        <v>235</v>
      </c>
      <c r="C440" s="4" t="str">
        <f>IF(ISERROR(_xlfn.XMATCH(B440,oldlist!B:B,0)),"not found","found")</f>
        <v>found</v>
      </c>
    </row>
    <row r="441" spans="1:3" x14ac:dyDescent="0.5">
      <c r="A441" t="s">
        <v>2817</v>
      </c>
      <c r="B441" t="s">
        <v>482</v>
      </c>
      <c r="C441" s="4" t="str">
        <f>IF(ISERROR(_xlfn.XMATCH(B441,oldlist!B:B,0)),"not found","found")</f>
        <v>found</v>
      </c>
    </row>
    <row r="442" spans="1:3" x14ac:dyDescent="0.5">
      <c r="A442" t="s">
        <v>2817</v>
      </c>
      <c r="B442" t="s">
        <v>661</v>
      </c>
      <c r="C442" s="4" t="str">
        <f>IF(ISERROR(_xlfn.XMATCH(B442,oldlist!B:B,0)),"not found","found")</f>
        <v>found</v>
      </c>
    </row>
    <row r="443" spans="1:3" x14ac:dyDescent="0.5">
      <c r="A443" t="s">
        <v>2817</v>
      </c>
      <c r="B443" t="s">
        <v>641</v>
      </c>
      <c r="C443" s="4" t="str">
        <f>IF(ISERROR(_xlfn.XMATCH(B443,oldlist!B:B,0)),"not found","found")</f>
        <v>found</v>
      </c>
    </row>
    <row r="444" spans="1:3" x14ac:dyDescent="0.5">
      <c r="A444" t="s">
        <v>2817</v>
      </c>
      <c r="B444" t="s">
        <v>281</v>
      </c>
      <c r="C444" s="4" t="str">
        <f>IF(ISERROR(_xlfn.XMATCH(B444,oldlist!B:B,0)),"not found","found")</f>
        <v>found</v>
      </c>
    </row>
    <row r="445" spans="1:3" x14ac:dyDescent="0.5">
      <c r="A445" t="s">
        <v>2817</v>
      </c>
      <c r="B445" t="s">
        <v>171</v>
      </c>
      <c r="C445" s="4" t="str">
        <f>IF(ISERROR(_xlfn.XMATCH(B445,oldlist!B:B,0)),"not found","found")</f>
        <v>found</v>
      </c>
    </row>
    <row r="446" spans="1:3" x14ac:dyDescent="0.5">
      <c r="A446" t="s">
        <v>2817</v>
      </c>
      <c r="B446" t="s">
        <v>939</v>
      </c>
      <c r="C446" s="4" t="str">
        <f>IF(ISERROR(_xlfn.XMATCH(B446,oldlist!B:B,0)),"not found","found")</f>
        <v>found</v>
      </c>
    </row>
    <row r="447" spans="1:3" x14ac:dyDescent="0.5">
      <c r="A447" t="s">
        <v>2817</v>
      </c>
      <c r="B447" t="s">
        <v>977</v>
      </c>
      <c r="C447" s="4" t="str">
        <f>IF(ISERROR(_xlfn.XMATCH(B447,oldlist!B:B,0)),"not found","found")</f>
        <v>found</v>
      </c>
    </row>
    <row r="448" spans="1:3" x14ac:dyDescent="0.5">
      <c r="A448" t="s">
        <v>2817</v>
      </c>
      <c r="B448" t="s">
        <v>779</v>
      </c>
      <c r="C448" s="4" t="str">
        <f>IF(ISERROR(_xlfn.XMATCH(B448,oldlist!B:B,0)),"not found","found")</f>
        <v>found</v>
      </c>
    </row>
    <row r="449" spans="1:3" x14ac:dyDescent="0.5">
      <c r="A449" t="s">
        <v>2817</v>
      </c>
      <c r="B449" t="s">
        <v>226</v>
      </c>
      <c r="C449" s="4" t="str">
        <f>IF(ISERROR(_xlfn.XMATCH(B449,oldlist!B:B,0)),"not found","found")</f>
        <v>found</v>
      </c>
    </row>
    <row r="450" spans="1:3" x14ac:dyDescent="0.5">
      <c r="A450" t="s">
        <v>2817</v>
      </c>
      <c r="B450" t="s">
        <v>492</v>
      </c>
      <c r="C450" s="4" t="str">
        <f>IF(ISERROR(_xlfn.XMATCH(B450,oldlist!B:B,0)),"not found","found")</f>
        <v>found</v>
      </c>
    </row>
    <row r="451" spans="1:3" x14ac:dyDescent="0.5">
      <c r="A451" t="s">
        <v>2817</v>
      </c>
      <c r="B451" t="s">
        <v>401</v>
      </c>
      <c r="C451" s="4" t="str">
        <f>IF(ISERROR(_xlfn.XMATCH(B451,oldlist!B:B,0)),"not found","found")</f>
        <v>found</v>
      </c>
    </row>
    <row r="452" spans="1:3" x14ac:dyDescent="0.5">
      <c r="A452" t="s">
        <v>2817</v>
      </c>
      <c r="B452" t="s">
        <v>723</v>
      </c>
      <c r="C452" s="4" t="str">
        <f>IF(ISERROR(_xlfn.XMATCH(B452,oldlist!B:B,0)),"not found","found")</f>
        <v>found</v>
      </c>
    </row>
    <row r="453" spans="1:3" x14ac:dyDescent="0.5">
      <c r="A453" t="s">
        <v>2817</v>
      </c>
      <c r="B453" t="s">
        <v>389</v>
      </c>
      <c r="C453" s="4" t="str">
        <f>IF(ISERROR(_xlfn.XMATCH(B453,oldlist!B:B,0)),"not found","found")</f>
        <v>found</v>
      </c>
    </row>
    <row r="454" spans="1:3" x14ac:dyDescent="0.5">
      <c r="A454" t="s">
        <v>2817</v>
      </c>
      <c r="B454" t="s">
        <v>637</v>
      </c>
      <c r="C454" s="4" t="str">
        <f>IF(ISERROR(_xlfn.XMATCH(B454,oldlist!B:B,0)),"not found","found")</f>
        <v>found</v>
      </c>
    </row>
    <row r="455" spans="1:3" x14ac:dyDescent="0.5">
      <c r="A455" t="s">
        <v>2817</v>
      </c>
      <c r="B455" t="s">
        <v>109</v>
      </c>
      <c r="C455" s="4" t="str">
        <f>IF(ISERROR(_xlfn.XMATCH(B455,oldlist!B:B,0)),"not found","found")</f>
        <v>found</v>
      </c>
    </row>
    <row r="456" spans="1:3" x14ac:dyDescent="0.5">
      <c r="A456" t="s">
        <v>2817</v>
      </c>
      <c r="B456" t="s">
        <v>955</v>
      </c>
      <c r="C456" s="4" t="str">
        <f>IF(ISERROR(_xlfn.XMATCH(B456,oldlist!B:B,0)),"not found","found")</f>
        <v>found</v>
      </c>
    </row>
    <row r="457" spans="1:3" x14ac:dyDescent="0.5">
      <c r="A457" t="s">
        <v>2817</v>
      </c>
      <c r="B457" t="s">
        <v>823</v>
      </c>
      <c r="C457" s="4" t="str">
        <f>IF(ISERROR(_xlfn.XMATCH(B457,oldlist!B:B,0)),"not found","found")</f>
        <v>found</v>
      </c>
    </row>
    <row r="458" spans="1:3" x14ac:dyDescent="0.5">
      <c r="A458" t="s">
        <v>2817</v>
      </c>
      <c r="B458" t="s">
        <v>1014</v>
      </c>
      <c r="C458" s="4" t="str">
        <f>IF(ISERROR(_xlfn.XMATCH(B458,oldlist!B:B,0)),"not found","found")</f>
        <v>found</v>
      </c>
    </row>
    <row r="459" spans="1:3" x14ac:dyDescent="0.5">
      <c r="A459" t="s">
        <v>2817</v>
      </c>
      <c r="B459" t="s">
        <v>593</v>
      </c>
      <c r="C459" s="4" t="str">
        <f>IF(ISERROR(_xlfn.XMATCH(B459,oldlist!B:B,0)),"not found","found")</f>
        <v>found</v>
      </c>
    </row>
    <row r="460" spans="1:3" x14ac:dyDescent="0.5">
      <c r="A460" t="s">
        <v>2817</v>
      </c>
      <c r="B460" t="s">
        <v>490</v>
      </c>
      <c r="C460" s="4" t="str">
        <f>IF(ISERROR(_xlfn.XMATCH(B460,oldlist!B:B,0)),"not found","found")</f>
        <v>found</v>
      </c>
    </row>
    <row r="461" spans="1:3" x14ac:dyDescent="0.5">
      <c r="A461" t="s">
        <v>2817</v>
      </c>
      <c r="B461" t="s">
        <v>317</v>
      </c>
      <c r="C461" s="4" t="str">
        <f>IF(ISERROR(_xlfn.XMATCH(B461,oldlist!B:B,0)),"not found","found")</f>
        <v>found</v>
      </c>
    </row>
    <row r="462" spans="1:3" x14ac:dyDescent="0.5">
      <c r="A462" t="s">
        <v>2817</v>
      </c>
      <c r="B462" t="s">
        <v>241</v>
      </c>
      <c r="C462" s="4" t="str">
        <f>IF(ISERROR(_xlfn.XMATCH(B462,oldlist!B:B,0)),"not found","found")</f>
        <v>found</v>
      </c>
    </row>
    <row r="463" spans="1:3" x14ac:dyDescent="0.5">
      <c r="A463" t="s">
        <v>2817</v>
      </c>
      <c r="B463" t="s">
        <v>659</v>
      </c>
      <c r="C463" s="4" t="str">
        <f>IF(ISERROR(_xlfn.XMATCH(B463,oldlist!B:B,0)),"not found","found")</f>
        <v>found</v>
      </c>
    </row>
    <row r="464" spans="1:3" x14ac:dyDescent="0.5">
      <c r="A464" t="s">
        <v>2817</v>
      </c>
      <c r="B464" t="s">
        <v>117</v>
      </c>
      <c r="C464" s="4" t="str">
        <f>IF(ISERROR(_xlfn.XMATCH(B464,oldlist!B:B,0)),"not found","found")</f>
        <v>found</v>
      </c>
    </row>
    <row r="465" spans="1:3" x14ac:dyDescent="0.5">
      <c r="A465" t="s">
        <v>2817</v>
      </c>
      <c r="B465" t="s">
        <v>337</v>
      </c>
      <c r="C465" s="4" t="str">
        <f>IF(ISERROR(_xlfn.XMATCH(B465,oldlist!B:B,0)),"not found","found")</f>
        <v>found</v>
      </c>
    </row>
    <row r="466" spans="1:3" x14ac:dyDescent="0.5">
      <c r="A466" t="s">
        <v>2817</v>
      </c>
      <c r="B466" t="s">
        <v>1044</v>
      </c>
      <c r="C466" s="4" t="str">
        <f>IF(ISERROR(_xlfn.XMATCH(B466,oldlist!B:B,0)),"not found","found")</f>
        <v>not found</v>
      </c>
    </row>
    <row r="467" spans="1:3" x14ac:dyDescent="0.5">
      <c r="A467" t="s">
        <v>2817</v>
      </c>
      <c r="B467" t="s">
        <v>545</v>
      </c>
      <c r="C467" s="4" t="str">
        <f>IF(ISERROR(_xlfn.XMATCH(B467,oldlist!B:B,0)),"not found","found")</f>
        <v>found</v>
      </c>
    </row>
    <row r="468" spans="1:3" x14ac:dyDescent="0.5">
      <c r="A468" t="s">
        <v>2817</v>
      </c>
      <c r="B468" t="s">
        <v>95</v>
      </c>
      <c r="C468" s="4" t="str">
        <f>IF(ISERROR(_xlfn.XMATCH(B468,oldlist!B:B,0)),"not found","found")</f>
        <v>found</v>
      </c>
    </row>
    <row r="469" spans="1:3" x14ac:dyDescent="0.5">
      <c r="A469" t="s">
        <v>2817</v>
      </c>
      <c r="B469" t="s">
        <v>363</v>
      </c>
      <c r="C469" s="4" t="str">
        <f>IF(ISERROR(_xlfn.XMATCH(B469,oldlist!B:B,0)),"not found","found")</f>
        <v>found</v>
      </c>
    </row>
    <row r="470" spans="1:3" x14ac:dyDescent="0.5">
      <c r="A470" t="s">
        <v>2817</v>
      </c>
      <c r="B470" t="s">
        <v>866</v>
      </c>
      <c r="C470" s="4" t="str">
        <f>IF(ISERROR(_xlfn.XMATCH(B470,oldlist!B:B,0)),"not found","found")</f>
        <v>found</v>
      </c>
    </row>
    <row r="471" spans="1:3" x14ac:dyDescent="0.5">
      <c r="A471" t="s">
        <v>2817</v>
      </c>
      <c r="B471" t="s">
        <v>1024</v>
      </c>
      <c r="C471" s="4" t="str">
        <f>IF(ISERROR(_xlfn.XMATCH(B471,oldlist!B:B,0)),"not found","found")</f>
        <v>found</v>
      </c>
    </row>
    <row r="472" spans="1:3" x14ac:dyDescent="0.5">
      <c r="A472" t="s">
        <v>2817</v>
      </c>
      <c r="B472" t="s">
        <v>319</v>
      </c>
      <c r="C472" s="4" t="str">
        <f>IF(ISERROR(_xlfn.XMATCH(B472,oldlist!B:B,0)),"not found","found")</f>
        <v>found</v>
      </c>
    </row>
    <row r="473" spans="1:3" x14ac:dyDescent="0.5">
      <c r="A473" t="s">
        <v>2817</v>
      </c>
      <c r="B473" t="s">
        <v>39</v>
      </c>
      <c r="C473" s="4" t="str">
        <f>IF(ISERROR(_xlfn.XMATCH(B473,oldlist!B:B,0)),"not found","found")</f>
        <v>found</v>
      </c>
    </row>
    <row r="474" spans="1:3" x14ac:dyDescent="0.5">
      <c r="A474" t="s">
        <v>2817</v>
      </c>
      <c r="B474" t="s">
        <v>313</v>
      </c>
      <c r="C474" s="4" t="str">
        <f>IF(ISERROR(_xlfn.XMATCH(B474,oldlist!B:B,0)),"not found","found")</f>
        <v>found</v>
      </c>
    </row>
    <row r="475" spans="1:3" x14ac:dyDescent="0.5">
      <c r="A475" t="s">
        <v>2817</v>
      </c>
      <c r="B475" t="s">
        <v>864</v>
      </c>
      <c r="C475" s="4" t="str">
        <f>IF(ISERROR(_xlfn.XMATCH(B475,oldlist!B:B,0)),"not found","found")</f>
        <v>found</v>
      </c>
    </row>
    <row r="476" spans="1:3" x14ac:dyDescent="0.5">
      <c r="A476" t="s">
        <v>2817</v>
      </c>
      <c r="B476" t="s">
        <v>87</v>
      </c>
      <c r="C476" s="4" t="str">
        <f>IF(ISERROR(_xlfn.XMATCH(B476,oldlist!B:B,0)),"not found","found")</f>
        <v>found</v>
      </c>
    </row>
    <row r="477" spans="1:3" x14ac:dyDescent="0.5">
      <c r="A477" t="s">
        <v>2817</v>
      </c>
      <c r="B477" t="s">
        <v>67</v>
      </c>
      <c r="C477" s="4" t="str">
        <f>IF(ISERROR(_xlfn.XMATCH(B477,oldlist!B:B,0)),"not found","found")</f>
        <v>found</v>
      </c>
    </row>
    <row r="478" spans="1:3" x14ac:dyDescent="0.5">
      <c r="A478" t="s">
        <v>2817</v>
      </c>
      <c r="B478" t="s">
        <v>835</v>
      </c>
      <c r="C478" s="4" t="str">
        <f>IF(ISERROR(_xlfn.XMATCH(B478,oldlist!B:B,0)),"not found","found")</f>
        <v>found</v>
      </c>
    </row>
    <row r="479" spans="1:3" x14ac:dyDescent="0.5">
      <c r="A479" t="s">
        <v>2817</v>
      </c>
      <c r="B479" t="s">
        <v>73</v>
      </c>
      <c r="C479" s="4" t="str">
        <f>IF(ISERROR(_xlfn.XMATCH(B479,oldlist!B:B,0)),"not found","found")</f>
        <v>found</v>
      </c>
    </row>
    <row r="480" spans="1:3" x14ac:dyDescent="0.5">
      <c r="A480" t="s">
        <v>2817</v>
      </c>
      <c r="B480" t="s">
        <v>860</v>
      </c>
      <c r="C480" s="4" t="str">
        <f>IF(ISERROR(_xlfn.XMATCH(B480,oldlist!B:B,0)),"not found","found")</f>
        <v>found</v>
      </c>
    </row>
    <row r="481" spans="1:3" x14ac:dyDescent="0.5">
      <c r="A481" t="s">
        <v>2817</v>
      </c>
      <c r="B481" t="s">
        <v>500</v>
      </c>
      <c r="C481" s="4" t="str">
        <f>IF(ISERROR(_xlfn.XMATCH(B481,oldlist!B:B,0)),"not found","found")</f>
        <v>found</v>
      </c>
    </row>
    <row r="482" spans="1:3" x14ac:dyDescent="0.5">
      <c r="A482" t="s">
        <v>2817</v>
      </c>
      <c r="B482" t="s">
        <v>476</v>
      </c>
      <c r="C482" s="4" t="str">
        <f>IF(ISERROR(_xlfn.XMATCH(B482,oldlist!B:B,0)),"not found","found")</f>
        <v>found</v>
      </c>
    </row>
    <row r="483" spans="1:3" x14ac:dyDescent="0.5">
      <c r="A483" t="s">
        <v>2817</v>
      </c>
      <c r="B483" t="s">
        <v>12</v>
      </c>
      <c r="C483" s="4" t="str">
        <f>IF(ISERROR(_xlfn.XMATCH(B483,oldlist!B:B,0)),"not found","found")</f>
        <v>found</v>
      </c>
    </row>
    <row r="484" spans="1:3" x14ac:dyDescent="0.5">
      <c r="A484" t="s">
        <v>2817</v>
      </c>
      <c r="B484" t="s">
        <v>753</v>
      </c>
      <c r="C484" s="4" t="str">
        <f>IF(ISERROR(_xlfn.XMATCH(B484,oldlist!B:B,0)),"not found","found")</f>
        <v>found</v>
      </c>
    </row>
    <row r="485" spans="1:3" x14ac:dyDescent="0.5">
      <c r="A485" t="s">
        <v>2817</v>
      </c>
      <c r="B485" t="s">
        <v>135</v>
      </c>
      <c r="C485" s="4" t="str">
        <f>IF(ISERROR(_xlfn.XMATCH(B485,oldlist!B:B,0)),"not found","found")</f>
        <v>found</v>
      </c>
    </row>
    <row r="486" spans="1:3" x14ac:dyDescent="0.5">
      <c r="A486" t="s">
        <v>2817</v>
      </c>
      <c r="B486" t="s">
        <v>874</v>
      </c>
      <c r="C486" s="4" t="str">
        <f>IF(ISERROR(_xlfn.XMATCH(B486,oldlist!B:B,0)),"not found","found")</f>
        <v>found</v>
      </c>
    </row>
    <row r="487" spans="1:3" x14ac:dyDescent="0.5">
      <c r="A487" t="s">
        <v>2817</v>
      </c>
      <c r="B487" t="s">
        <v>353</v>
      </c>
      <c r="C487" s="4" t="str">
        <f>IF(ISERROR(_xlfn.XMATCH(B487,oldlist!B:B,0)),"not found","found")</f>
        <v>found</v>
      </c>
    </row>
    <row r="488" spans="1:3" x14ac:dyDescent="0.5">
      <c r="A488" t="s">
        <v>2817</v>
      </c>
      <c r="B488" t="s">
        <v>721</v>
      </c>
      <c r="C488" s="4" t="str">
        <f>IF(ISERROR(_xlfn.XMATCH(B488,oldlist!B:B,0)),"not found","found")</f>
        <v>found</v>
      </c>
    </row>
    <row r="489" spans="1:3" x14ac:dyDescent="0.5">
      <c r="A489" t="s">
        <v>2817</v>
      </c>
      <c r="B489" t="s">
        <v>529</v>
      </c>
      <c r="C489" s="4" t="str">
        <f>IF(ISERROR(_xlfn.XMATCH(B489,oldlist!B:B,0)),"not found","found")</f>
        <v>found</v>
      </c>
    </row>
    <row r="490" spans="1:3" x14ac:dyDescent="0.5">
      <c r="A490" t="s">
        <v>2817</v>
      </c>
      <c r="B490" t="s">
        <v>123</v>
      </c>
      <c r="C490" s="4" t="str">
        <f>IF(ISERROR(_xlfn.XMATCH(B490,oldlist!B:B,0)),"not found","found")</f>
        <v>found</v>
      </c>
    </row>
    <row r="491" spans="1:3" x14ac:dyDescent="0.5">
      <c r="A491" t="s">
        <v>2817</v>
      </c>
      <c r="B491" t="s">
        <v>165</v>
      </c>
      <c r="C491" s="4" t="str">
        <f>IF(ISERROR(_xlfn.XMATCH(B491,oldlist!B:B,0)),"not found","found")</f>
        <v>found</v>
      </c>
    </row>
    <row r="492" spans="1:3" x14ac:dyDescent="0.5">
      <c r="A492" t="s">
        <v>2817</v>
      </c>
      <c r="B492" t="s">
        <v>468</v>
      </c>
      <c r="C492" s="4" t="str">
        <f>IF(ISERROR(_xlfn.XMATCH(B492,oldlist!B:B,0)),"not found","found")</f>
        <v>found</v>
      </c>
    </row>
    <row r="493" spans="1:3" x14ac:dyDescent="0.5">
      <c r="A493" t="s">
        <v>2817</v>
      </c>
      <c r="B493" t="s">
        <v>919</v>
      </c>
      <c r="C493" s="4" t="str">
        <f>IF(ISERROR(_xlfn.XMATCH(B493,oldlist!B:B,0)),"not found","found")</f>
        <v>found</v>
      </c>
    </row>
    <row r="494" spans="1:3" x14ac:dyDescent="0.5">
      <c r="A494" t="s">
        <v>2817</v>
      </c>
      <c r="B494" t="s">
        <v>743</v>
      </c>
      <c r="C494" s="4" t="str">
        <f>IF(ISERROR(_xlfn.XMATCH(B494,oldlist!B:B,0)),"not found","found")</f>
        <v>found</v>
      </c>
    </row>
    <row r="495" spans="1:3" x14ac:dyDescent="0.5">
      <c r="A495" t="s">
        <v>2817</v>
      </c>
      <c r="B495" t="s">
        <v>614</v>
      </c>
      <c r="C495" s="4" t="str">
        <f>IF(ISERROR(_xlfn.XMATCH(B495,oldlist!B:B,0)),"not found","found")</f>
        <v>found</v>
      </c>
    </row>
    <row r="496" spans="1:3" x14ac:dyDescent="0.5">
      <c r="A496" t="s">
        <v>2817</v>
      </c>
      <c r="B496" t="s">
        <v>735</v>
      </c>
      <c r="C496" s="4" t="str">
        <f>IF(ISERROR(_xlfn.XMATCH(B496,oldlist!B:B,0)),"not found","found")</f>
        <v>found</v>
      </c>
    </row>
    <row r="497" spans="1:3" x14ac:dyDescent="0.5">
      <c r="A497" t="s">
        <v>2817</v>
      </c>
      <c r="B497" t="s">
        <v>83</v>
      </c>
      <c r="C497" s="4" t="str">
        <f>IF(ISERROR(_xlfn.XMATCH(B497,oldlist!B:B,0)),"not found","found")</f>
        <v>found</v>
      </c>
    </row>
    <row r="498" spans="1:3" x14ac:dyDescent="0.5">
      <c r="A498" t="s">
        <v>2817</v>
      </c>
      <c r="B498" t="s">
        <v>783</v>
      </c>
      <c r="C498" s="4" t="str">
        <f>IF(ISERROR(_xlfn.XMATCH(B498,oldlist!B:B,0)),"not found","found")</f>
        <v>found</v>
      </c>
    </row>
    <row r="499" spans="1:3" x14ac:dyDescent="0.5">
      <c r="A499" t="s">
        <v>2817</v>
      </c>
      <c r="B499" t="s">
        <v>411</v>
      </c>
      <c r="C499" s="4" t="str">
        <f>IF(ISERROR(_xlfn.XMATCH(B499,oldlist!B:B,0)),"not found","found")</f>
        <v>found</v>
      </c>
    </row>
    <row r="500" spans="1:3" x14ac:dyDescent="0.5">
      <c r="A500" t="s">
        <v>2817</v>
      </c>
      <c r="B500" t="s">
        <v>600</v>
      </c>
      <c r="C500" s="4" t="str">
        <f>IF(ISERROR(_xlfn.XMATCH(B500,oldlist!B:B,0)),"not found","found")</f>
        <v>found</v>
      </c>
    </row>
    <row r="501" spans="1:3" x14ac:dyDescent="0.5">
      <c r="A501" t="s">
        <v>2817</v>
      </c>
      <c r="B501" t="s">
        <v>435</v>
      </c>
      <c r="C501" s="4" t="str">
        <f>IF(ISERROR(_xlfn.XMATCH(B501,oldlist!B:B,0)),"not found","found")</f>
        <v>found</v>
      </c>
    </row>
    <row r="502" spans="1:3" x14ac:dyDescent="0.5">
      <c r="A502" t="s">
        <v>2817</v>
      </c>
      <c r="B502" t="s">
        <v>474</v>
      </c>
      <c r="C502" s="4" t="str">
        <f>IF(ISERROR(_xlfn.XMATCH(B502,oldlist!B:B,0)),"not found","found")</f>
        <v>found</v>
      </c>
    </row>
    <row r="503" spans="1:3" x14ac:dyDescent="0.5">
      <c r="A503" t="s">
        <v>2817</v>
      </c>
      <c r="B503" t="s">
        <v>909</v>
      </c>
      <c r="C503" s="4" t="str">
        <f>IF(ISERROR(_xlfn.XMATCH(B503,oldlist!B:B,0)),"not found","found")</f>
        <v>found</v>
      </c>
    </row>
    <row r="504" spans="1:3" x14ac:dyDescent="0.5">
      <c r="A504" t="s">
        <v>1051</v>
      </c>
      <c r="B504" t="s">
        <v>1641</v>
      </c>
      <c r="C504" s="4" t="str">
        <f>IF(ISERROR(_xlfn.XMATCH(B504,oldlist!B:B,0)),"not found","found")</f>
        <v>found</v>
      </c>
    </row>
    <row r="505" spans="1:3" x14ac:dyDescent="0.5">
      <c r="A505" t="s">
        <v>1051</v>
      </c>
      <c r="B505" t="s">
        <v>1407</v>
      </c>
      <c r="C505" s="4" t="str">
        <f>IF(ISERROR(_xlfn.XMATCH(B505,oldlist!B:B,0)),"not found","found")</f>
        <v>found</v>
      </c>
    </row>
    <row r="506" spans="1:3" x14ac:dyDescent="0.5">
      <c r="A506" t="s">
        <v>1051</v>
      </c>
      <c r="B506" t="s">
        <v>1893</v>
      </c>
      <c r="C506" s="4" t="str">
        <f>IF(ISERROR(_xlfn.XMATCH(B506,oldlist!B:B,0)),"not found","found")</f>
        <v>found</v>
      </c>
    </row>
    <row r="507" spans="1:3" x14ac:dyDescent="0.5">
      <c r="A507" t="s">
        <v>1051</v>
      </c>
      <c r="B507" t="s">
        <v>2485</v>
      </c>
      <c r="C507" s="4" t="str">
        <f>IF(ISERROR(_xlfn.XMATCH(B507,oldlist!B:B,0)),"not found","found")</f>
        <v>not found</v>
      </c>
    </row>
    <row r="508" spans="1:3" x14ac:dyDescent="0.5">
      <c r="A508" t="s">
        <v>1051</v>
      </c>
      <c r="B508" t="s">
        <v>1755</v>
      </c>
      <c r="C508" s="4" t="str">
        <f>IF(ISERROR(_xlfn.XMATCH(B508,oldlist!B:B,0)),"not found","found")</f>
        <v>found</v>
      </c>
    </row>
    <row r="509" spans="1:3" x14ac:dyDescent="0.5">
      <c r="A509" t="s">
        <v>1051</v>
      </c>
      <c r="B509" t="s">
        <v>2605</v>
      </c>
      <c r="C509" s="4" t="str">
        <f>IF(ISERROR(_xlfn.XMATCH(B509,oldlist!B:B,0)),"not found","found")</f>
        <v>not found</v>
      </c>
    </row>
    <row r="510" spans="1:3" x14ac:dyDescent="0.5">
      <c r="A510" t="s">
        <v>1051</v>
      </c>
      <c r="B510" t="s">
        <v>1737</v>
      </c>
      <c r="C510" s="4" t="str">
        <f>IF(ISERROR(_xlfn.XMATCH(B510,oldlist!B:B,0)),"not found","found")</f>
        <v>found</v>
      </c>
    </row>
    <row r="511" spans="1:3" x14ac:dyDescent="0.5">
      <c r="A511" t="s">
        <v>1051</v>
      </c>
      <c r="B511" t="s">
        <v>1627</v>
      </c>
      <c r="C511" s="4" t="str">
        <f>IF(ISERROR(_xlfn.XMATCH(B511,oldlist!B:B,0)),"not found","found")</f>
        <v>found</v>
      </c>
    </row>
    <row r="512" spans="1:3" x14ac:dyDescent="0.5">
      <c r="A512" t="s">
        <v>1051</v>
      </c>
      <c r="B512" t="s">
        <v>1919</v>
      </c>
      <c r="C512" s="4" t="str">
        <f>IF(ISERROR(_xlfn.XMATCH(B512,oldlist!B:B,0)),"not found","found")</f>
        <v>found</v>
      </c>
    </row>
    <row r="513" spans="1:3" x14ac:dyDescent="0.5">
      <c r="A513" t="s">
        <v>1051</v>
      </c>
      <c r="B513" t="s">
        <v>1703</v>
      </c>
      <c r="C513" s="4" t="str">
        <f>IF(ISERROR(_xlfn.XMATCH(B513,oldlist!B:B,0)),"not found","found")</f>
        <v>found</v>
      </c>
    </row>
    <row r="514" spans="1:3" x14ac:dyDescent="0.5">
      <c r="A514" t="s">
        <v>1051</v>
      </c>
      <c r="B514" t="s">
        <v>1745</v>
      </c>
      <c r="C514" s="4" t="str">
        <f>IF(ISERROR(_xlfn.XMATCH(B514,oldlist!B:B,0)),"not found","found")</f>
        <v>found</v>
      </c>
    </row>
    <row r="515" spans="1:3" x14ac:dyDescent="0.5">
      <c r="A515" t="s">
        <v>1051</v>
      </c>
      <c r="B515" t="s">
        <v>2359</v>
      </c>
      <c r="C515" s="4" t="str">
        <f>IF(ISERROR(_xlfn.XMATCH(B515,oldlist!B:B,0)),"not found","found")</f>
        <v>not found</v>
      </c>
    </row>
    <row r="516" spans="1:3" x14ac:dyDescent="0.5">
      <c r="A516" t="s">
        <v>1051</v>
      </c>
      <c r="B516" t="s">
        <v>2141</v>
      </c>
      <c r="C516" s="4" t="str">
        <f>IF(ISERROR(_xlfn.XMATCH(B516,oldlist!B:B,0)),"not found","found")</f>
        <v>not found</v>
      </c>
    </row>
    <row r="517" spans="1:3" x14ac:dyDescent="0.5">
      <c r="A517" t="s">
        <v>1051</v>
      </c>
      <c r="B517" t="s">
        <v>1549</v>
      </c>
      <c r="C517" s="4" t="str">
        <f>IF(ISERROR(_xlfn.XMATCH(B517,oldlist!B:B,0)),"not found","found")</f>
        <v>found</v>
      </c>
    </row>
    <row r="518" spans="1:3" x14ac:dyDescent="0.5">
      <c r="A518" t="s">
        <v>1051</v>
      </c>
      <c r="B518" t="s">
        <v>2469</v>
      </c>
      <c r="C518" s="4" t="str">
        <f>IF(ISERROR(_xlfn.XMATCH(B518,oldlist!B:B,0)),"not found","found")</f>
        <v>not found</v>
      </c>
    </row>
    <row r="519" spans="1:3" x14ac:dyDescent="0.5">
      <c r="A519" t="s">
        <v>1051</v>
      </c>
      <c r="B519" t="s">
        <v>2315</v>
      </c>
      <c r="C519" s="4" t="str">
        <f>IF(ISERROR(_xlfn.XMATCH(B519,oldlist!B:B,0)),"not found","found")</f>
        <v>found</v>
      </c>
    </row>
    <row r="520" spans="1:3" x14ac:dyDescent="0.5">
      <c r="A520" t="s">
        <v>1051</v>
      </c>
      <c r="B520" t="s">
        <v>2489</v>
      </c>
      <c r="C520" s="4" t="str">
        <f>IF(ISERROR(_xlfn.XMATCH(B520,oldlist!B:B,0)),"not found","found")</f>
        <v>not found</v>
      </c>
    </row>
    <row r="521" spans="1:3" x14ac:dyDescent="0.5">
      <c r="A521" t="s">
        <v>1051</v>
      </c>
      <c r="B521" t="s">
        <v>2263</v>
      </c>
      <c r="C521" s="4" t="str">
        <f>IF(ISERROR(_xlfn.XMATCH(B521,oldlist!B:B,0)),"not found","found")</f>
        <v>found</v>
      </c>
    </row>
    <row r="522" spans="1:3" x14ac:dyDescent="0.5">
      <c r="A522" t="s">
        <v>1051</v>
      </c>
      <c r="B522" t="s">
        <v>2319</v>
      </c>
      <c r="C522" s="4" t="str">
        <f>IF(ISERROR(_xlfn.XMATCH(B522,oldlist!B:B,0)),"not found","found")</f>
        <v>found</v>
      </c>
    </row>
    <row r="523" spans="1:3" x14ac:dyDescent="0.5">
      <c r="A523" t="s">
        <v>1051</v>
      </c>
      <c r="B523" t="s">
        <v>2567</v>
      </c>
      <c r="C523" s="4" t="str">
        <f>IF(ISERROR(_xlfn.XMATCH(B523,oldlist!B:B,0)),"not found","found")</f>
        <v>not found</v>
      </c>
    </row>
    <row r="524" spans="1:3" x14ac:dyDescent="0.5">
      <c r="A524" t="s">
        <v>1051</v>
      </c>
      <c r="B524" t="s">
        <v>1485</v>
      </c>
      <c r="C524" s="4" t="str">
        <f>IF(ISERROR(_xlfn.XMATCH(B524,oldlist!B:B,0)),"not found","found")</f>
        <v>found</v>
      </c>
    </row>
    <row r="525" spans="1:3" x14ac:dyDescent="0.5">
      <c r="A525" t="s">
        <v>1051</v>
      </c>
      <c r="B525" t="s">
        <v>2171</v>
      </c>
      <c r="C525" s="4" t="str">
        <f>IF(ISERROR(_xlfn.XMATCH(B525,oldlist!B:B,0)),"not found","found")</f>
        <v>found</v>
      </c>
    </row>
    <row r="526" spans="1:3" x14ac:dyDescent="0.5">
      <c r="A526" t="s">
        <v>1051</v>
      </c>
      <c r="B526" t="s">
        <v>2531</v>
      </c>
      <c r="C526" s="4" t="str">
        <f>IF(ISERROR(_xlfn.XMATCH(B526,oldlist!B:B,0)),"not found","found")</f>
        <v>not found</v>
      </c>
    </row>
    <row r="527" spans="1:3" x14ac:dyDescent="0.5">
      <c r="A527" t="s">
        <v>1051</v>
      </c>
      <c r="B527" t="s">
        <v>2603</v>
      </c>
      <c r="C527" s="4" t="str">
        <f>IF(ISERROR(_xlfn.XMATCH(B527,oldlist!B:B,0)),"not found","found")</f>
        <v>not found</v>
      </c>
    </row>
    <row r="528" spans="1:3" x14ac:dyDescent="0.5">
      <c r="A528" t="s">
        <v>1051</v>
      </c>
      <c r="B528" t="s">
        <v>2749</v>
      </c>
      <c r="C528" s="4" t="str">
        <f>IF(ISERROR(_xlfn.XMATCH(B528,oldlist!B:B,0)),"not found","found")</f>
        <v>not found</v>
      </c>
    </row>
    <row r="529" spans="1:3" x14ac:dyDescent="0.5">
      <c r="A529" t="s">
        <v>1051</v>
      </c>
      <c r="B529" t="s">
        <v>1507</v>
      </c>
      <c r="C529" s="4" t="str">
        <f>IF(ISERROR(_xlfn.XMATCH(B529,oldlist!B:B,0)),"not found","found")</f>
        <v>found</v>
      </c>
    </row>
    <row r="530" spans="1:3" x14ac:dyDescent="0.5">
      <c r="A530" t="s">
        <v>1051</v>
      </c>
      <c r="B530" t="s">
        <v>1503</v>
      </c>
      <c r="C530" s="4" t="str">
        <f>IF(ISERROR(_xlfn.XMATCH(B530,oldlist!B:B,0)),"not found","found")</f>
        <v>found</v>
      </c>
    </row>
    <row r="531" spans="1:3" x14ac:dyDescent="0.5">
      <c r="A531" t="s">
        <v>1051</v>
      </c>
      <c r="B531" t="s">
        <v>1285</v>
      </c>
      <c r="C531" s="4" t="str">
        <f>IF(ISERROR(_xlfn.XMATCH(B531,oldlist!B:B,0)),"not found","found")</f>
        <v>found</v>
      </c>
    </row>
    <row r="532" spans="1:3" x14ac:dyDescent="0.5">
      <c r="A532" t="s">
        <v>1051</v>
      </c>
      <c r="B532" t="s">
        <v>1331</v>
      </c>
      <c r="C532" s="4" t="str">
        <f>IF(ISERROR(_xlfn.XMATCH(B532,oldlist!B:B,0)),"not found","found")</f>
        <v>found</v>
      </c>
    </row>
    <row r="533" spans="1:3" x14ac:dyDescent="0.5">
      <c r="A533" t="s">
        <v>1051</v>
      </c>
      <c r="B533" t="s">
        <v>2627</v>
      </c>
      <c r="C533" s="4" t="str">
        <f>IF(ISERROR(_xlfn.XMATCH(B533,oldlist!B:B,0)),"not found","found")</f>
        <v>not found</v>
      </c>
    </row>
    <row r="534" spans="1:3" x14ac:dyDescent="0.5">
      <c r="A534" t="s">
        <v>1051</v>
      </c>
      <c r="B534" t="s">
        <v>2151</v>
      </c>
      <c r="C534" s="4" t="str">
        <f>IF(ISERROR(_xlfn.XMATCH(B534,oldlist!B:B,0)),"not found","found")</f>
        <v>found</v>
      </c>
    </row>
    <row r="535" spans="1:3" x14ac:dyDescent="0.5">
      <c r="A535" t="s">
        <v>1051</v>
      </c>
      <c r="B535" t="s">
        <v>1367</v>
      </c>
      <c r="C535" s="4" t="str">
        <f>IF(ISERROR(_xlfn.XMATCH(B535,oldlist!B:B,0)),"not found","found")</f>
        <v>found</v>
      </c>
    </row>
    <row r="536" spans="1:3" x14ac:dyDescent="0.5">
      <c r="A536" t="s">
        <v>1051</v>
      </c>
      <c r="B536" t="s">
        <v>1733</v>
      </c>
      <c r="C536" s="4" t="str">
        <f>IF(ISERROR(_xlfn.XMATCH(B536,oldlist!B:B,0)),"not found","found")</f>
        <v>found</v>
      </c>
    </row>
    <row r="537" spans="1:3" x14ac:dyDescent="0.5">
      <c r="A537" t="s">
        <v>1051</v>
      </c>
      <c r="B537" t="s">
        <v>1369</v>
      </c>
      <c r="C537" s="4" t="str">
        <f>IF(ISERROR(_xlfn.XMATCH(B537,oldlist!B:B,0)),"not found","found")</f>
        <v>found</v>
      </c>
    </row>
    <row r="538" spans="1:3" x14ac:dyDescent="0.5">
      <c r="A538" t="s">
        <v>1051</v>
      </c>
      <c r="B538" t="s">
        <v>2301</v>
      </c>
      <c r="C538" s="4" t="str">
        <f>IF(ISERROR(_xlfn.XMATCH(B538,oldlist!B:B,0)),"not found","found")</f>
        <v>not found</v>
      </c>
    </row>
    <row r="539" spans="1:3" x14ac:dyDescent="0.5">
      <c r="A539" t="s">
        <v>1051</v>
      </c>
      <c r="B539" t="s">
        <v>2281</v>
      </c>
      <c r="C539" s="4" t="str">
        <f>IF(ISERROR(_xlfn.XMATCH(B539,oldlist!B:B,0)),"not found","found")</f>
        <v>found</v>
      </c>
    </row>
    <row r="540" spans="1:3" x14ac:dyDescent="0.5">
      <c r="A540" t="s">
        <v>1051</v>
      </c>
      <c r="B540" t="s">
        <v>1491</v>
      </c>
      <c r="C540" s="4" t="str">
        <f>IF(ISERROR(_xlfn.XMATCH(B540,oldlist!B:B,0)),"not found","found")</f>
        <v>found</v>
      </c>
    </row>
    <row r="541" spans="1:3" x14ac:dyDescent="0.5">
      <c r="A541" t="s">
        <v>1051</v>
      </c>
      <c r="B541" t="s">
        <v>1673</v>
      </c>
      <c r="C541" s="4" t="str">
        <f>IF(ISERROR(_xlfn.XMATCH(B541,oldlist!B:B,0)),"not found","found")</f>
        <v>found</v>
      </c>
    </row>
    <row r="542" spans="1:3" x14ac:dyDescent="0.5">
      <c r="A542" t="s">
        <v>1051</v>
      </c>
      <c r="B542" t="s">
        <v>2323</v>
      </c>
      <c r="C542" s="4" t="str">
        <f>IF(ISERROR(_xlfn.XMATCH(B542,oldlist!B:B,0)),"not found","found")</f>
        <v>found</v>
      </c>
    </row>
    <row r="543" spans="1:3" x14ac:dyDescent="0.5">
      <c r="A543" t="s">
        <v>1051</v>
      </c>
      <c r="B543" t="s">
        <v>1855</v>
      </c>
      <c r="C543" s="4" t="str">
        <f>IF(ISERROR(_xlfn.XMATCH(B543,oldlist!B:B,0)),"not found","found")</f>
        <v>found</v>
      </c>
    </row>
    <row r="544" spans="1:3" x14ac:dyDescent="0.5">
      <c r="A544" t="s">
        <v>1051</v>
      </c>
      <c r="B544" t="s">
        <v>2313</v>
      </c>
      <c r="C544" s="4" t="str">
        <f>IF(ISERROR(_xlfn.XMATCH(B544,oldlist!B:B,0)),"not found","found")</f>
        <v>found</v>
      </c>
    </row>
    <row r="545" spans="1:3" x14ac:dyDescent="0.5">
      <c r="A545" t="s">
        <v>1051</v>
      </c>
      <c r="B545" t="s">
        <v>1885</v>
      </c>
      <c r="C545" s="4" t="str">
        <f>IF(ISERROR(_xlfn.XMATCH(B545,oldlist!B:B,0)),"not found","found")</f>
        <v>found</v>
      </c>
    </row>
    <row r="546" spans="1:3" x14ac:dyDescent="0.5">
      <c r="A546" t="s">
        <v>1051</v>
      </c>
      <c r="B546" t="s">
        <v>2043</v>
      </c>
      <c r="C546" s="4" t="str">
        <f>IF(ISERROR(_xlfn.XMATCH(B546,oldlist!B:B,0)),"not found","found")</f>
        <v>found</v>
      </c>
    </row>
    <row r="547" spans="1:3" x14ac:dyDescent="0.5">
      <c r="A547" t="s">
        <v>1051</v>
      </c>
      <c r="B547" t="s">
        <v>1569</v>
      </c>
      <c r="C547" s="4" t="str">
        <f>IF(ISERROR(_xlfn.XMATCH(B547,oldlist!B:B,0)),"not found","found")</f>
        <v>found</v>
      </c>
    </row>
    <row r="548" spans="1:3" x14ac:dyDescent="0.5">
      <c r="A548" t="s">
        <v>1051</v>
      </c>
      <c r="B548" t="s">
        <v>1851</v>
      </c>
      <c r="C548" s="4" t="str">
        <f>IF(ISERROR(_xlfn.XMATCH(B548,oldlist!B:B,0)),"not found","found")</f>
        <v>found</v>
      </c>
    </row>
    <row r="549" spans="1:3" x14ac:dyDescent="0.5">
      <c r="A549" t="s">
        <v>1051</v>
      </c>
      <c r="B549" t="s">
        <v>2253</v>
      </c>
      <c r="C549" s="4" t="str">
        <f>IF(ISERROR(_xlfn.XMATCH(B549,oldlist!B:B,0)),"not found","found")</f>
        <v>found</v>
      </c>
    </row>
    <row r="550" spans="1:3" x14ac:dyDescent="0.5">
      <c r="A550" t="s">
        <v>1051</v>
      </c>
      <c r="B550" t="s">
        <v>1711</v>
      </c>
      <c r="C550" s="4" t="str">
        <f>IF(ISERROR(_xlfn.XMATCH(B550,oldlist!B:B,0)),"not found","found")</f>
        <v>found</v>
      </c>
    </row>
    <row r="551" spans="1:3" x14ac:dyDescent="0.5">
      <c r="A551" t="s">
        <v>1051</v>
      </c>
      <c r="B551" t="s">
        <v>2481</v>
      </c>
      <c r="C551" s="4" t="str">
        <f>IF(ISERROR(_xlfn.XMATCH(B551,oldlist!B:B,0)),"not found","found")</f>
        <v>not found</v>
      </c>
    </row>
    <row r="552" spans="1:3" x14ac:dyDescent="0.5">
      <c r="A552" t="s">
        <v>1051</v>
      </c>
      <c r="B552" t="s">
        <v>2227</v>
      </c>
      <c r="C552" s="4" t="str">
        <f>IF(ISERROR(_xlfn.XMATCH(B552,oldlist!B:B,0)),"not found","found")</f>
        <v>found</v>
      </c>
    </row>
    <row r="553" spans="1:3" x14ac:dyDescent="0.5">
      <c r="A553" t="s">
        <v>1051</v>
      </c>
      <c r="B553" t="s">
        <v>2413</v>
      </c>
      <c r="C553" s="4" t="str">
        <f>IF(ISERROR(_xlfn.XMATCH(B553,oldlist!B:B,0)),"not found","found")</f>
        <v>not found</v>
      </c>
    </row>
    <row r="554" spans="1:3" x14ac:dyDescent="0.5">
      <c r="A554" t="s">
        <v>1051</v>
      </c>
      <c r="B554" t="s">
        <v>2487</v>
      </c>
      <c r="C554" s="4" t="str">
        <f>IF(ISERROR(_xlfn.XMATCH(B554,oldlist!B:B,0)),"not found","found")</f>
        <v>not found</v>
      </c>
    </row>
    <row r="555" spans="1:3" x14ac:dyDescent="0.5">
      <c r="A555" t="s">
        <v>1051</v>
      </c>
      <c r="B555" t="s">
        <v>2347</v>
      </c>
      <c r="C555" s="4" t="str">
        <f>IF(ISERROR(_xlfn.XMATCH(B555,oldlist!B:B,0)),"not found","found")</f>
        <v>found</v>
      </c>
    </row>
    <row r="556" spans="1:3" x14ac:dyDescent="0.5">
      <c r="A556" t="s">
        <v>1051</v>
      </c>
      <c r="B556" t="s">
        <v>1609</v>
      </c>
      <c r="C556" s="4" t="str">
        <f>IF(ISERROR(_xlfn.XMATCH(B556,oldlist!B:B,0)),"not found","found")</f>
        <v>found</v>
      </c>
    </row>
    <row r="557" spans="1:3" x14ac:dyDescent="0.5">
      <c r="A557" t="s">
        <v>1051</v>
      </c>
      <c r="B557" t="s">
        <v>1433</v>
      </c>
      <c r="C557" s="4" t="str">
        <f>IF(ISERROR(_xlfn.XMATCH(B557,oldlist!B:B,0)),"not found","found")</f>
        <v>found</v>
      </c>
    </row>
    <row r="558" spans="1:3" x14ac:dyDescent="0.5">
      <c r="A558" t="s">
        <v>1051</v>
      </c>
      <c r="B558" t="s">
        <v>2415</v>
      </c>
      <c r="C558" s="4" t="str">
        <f>IF(ISERROR(_xlfn.XMATCH(B558,oldlist!B:B,0)),"not found","found")</f>
        <v>not found</v>
      </c>
    </row>
    <row r="559" spans="1:3" x14ac:dyDescent="0.5">
      <c r="A559" t="s">
        <v>1051</v>
      </c>
      <c r="B559" t="s">
        <v>1473</v>
      </c>
      <c r="C559" s="4" t="str">
        <f>IF(ISERROR(_xlfn.XMATCH(B559,oldlist!B:B,0)),"not found","found")</f>
        <v>found</v>
      </c>
    </row>
    <row r="560" spans="1:3" x14ac:dyDescent="0.5">
      <c r="A560" t="s">
        <v>1051</v>
      </c>
      <c r="B560" t="s">
        <v>2703</v>
      </c>
      <c r="C560" s="4" t="str">
        <f>IF(ISERROR(_xlfn.XMATCH(B560,oldlist!B:B,0)),"not found","found")</f>
        <v>not found</v>
      </c>
    </row>
    <row r="561" spans="1:3" x14ac:dyDescent="0.5">
      <c r="A561" t="s">
        <v>1051</v>
      </c>
      <c r="B561" t="s">
        <v>2723</v>
      </c>
      <c r="C561" s="4" t="str">
        <f>IF(ISERROR(_xlfn.XMATCH(B561,oldlist!B:B,0)),"not found","found")</f>
        <v>found</v>
      </c>
    </row>
    <row r="562" spans="1:3" x14ac:dyDescent="0.5">
      <c r="A562" t="s">
        <v>1051</v>
      </c>
      <c r="B562" t="s">
        <v>2059</v>
      </c>
      <c r="C562" s="4" t="str">
        <f>IF(ISERROR(_xlfn.XMATCH(B562,oldlist!B:B,0)),"not found","found")</f>
        <v>found</v>
      </c>
    </row>
    <row r="563" spans="1:3" x14ac:dyDescent="0.5">
      <c r="A563" t="s">
        <v>1051</v>
      </c>
      <c r="B563" t="s">
        <v>1333</v>
      </c>
      <c r="C563" s="4" t="str">
        <f>IF(ISERROR(_xlfn.XMATCH(B563,oldlist!B:B,0)),"not found","found")</f>
        <v>found</v>
      </c>
    </row>
    <row r="564" spans="1:3" x14ac:dyDescent="0.5">
      <c r="A564" t="s">
        <v>1051</v>
      </c>
      <c r="B564" t="s">
        <v>2065</v>
      </c>
      <c r="C564" s="4" t="str">
        <f>IF(ISERROR(_xlfn.XMATCH(B564,oldlist!B:B,0)),"not found","found")</f>
        <v>found</v>
      </c>
    </row>
    <row r="565" spans="1:3" x14ac:dyDescent="0.5">
      <c r="A565" t="s">
        <v>1051</v>
      </c>
      <c r="B565" t="s">
        <v>2039</v>
      </c>
      <c r="C565" s="4" t="str">
        <f>IF(ISERROR(_xlfn.XMATCH(B565,oldlist!B:B,0)),"not found","found")</f>
        <v>found</v>
      </c>
    </row>
    <row r="566" spans="1:3" x14ac:dyDescent="0.5">
      <c r="A566" t="s">
        <v>1051</v>
      </c>
      <c r="B566" t="s">
        <v>1099</v>
      </c>
      <c r="C566" s="4" t="str">
        <f>IF(ISERROR(_xlfn.XMATCH(B566,oldlist!B:B,0)),"not found","found")</f>
        <v>found</v>
      </c>
    </row>
    <row r="567" spans="1:3" x14ac:dyDescent="0.5">
      <c r="A567" t="s">
        <v>1051</v>
      </c>
      <c r="B567" t="s">
        <v>1259</v>
      </c>
      <c r="C567" s="4" t="str">
        <f>IF(ISERROR(_xlfn.XMATCH(B567,oldlist!B:B,0)),"not found","found")</f>
        <v>found</v>
      </c>
    </row>
    <row r="568" spans="1:3" x14ac:dyDescent="0.5">
      <c r="A568" t="s">
        <v>1051</v>
      </c>
      <c r="B568" t="s">
        <v>1131</v>
      </c>
      <c r="C568" s="4" t="str">
        <f>IF(ISERROR(_xlfn.XMATCH(B568,oldlist!B:B,0)),"not found","found")</f>
        <v>found</v>
      </c>
    </row>
    <row r="569" spans="1:3" x14ac:dyDescent="0.5">
      <c r="A569" t="s">
        <v>1051</v>
      </c>
      <c r="B569" t="s">
        <v>1275</v>
      </c>
      <c r="C569" s="4" t="str">
        <f>IF(ISERROR(_xlfn.XMATCH(B569,oldlist!B:B,0)),"not found","found")</f>
        <v>found</v>
      </c>
    </row>
    <row r="570" spans="1:3" x14ac:dyDescent="0.5">
      <c r="A570" t="s">
        <v>1051</v>
      </c>
      <c r="B570" t="s">
        <v>1827</v>
      </c>
      <c r="C570" s="4" t="str">
        <f>IF(ISERROR(_xlfn.XMATCH(B570,oldlist!B:B,0)),"not found","found")</f>
        <v>found</v>
      </c>
    </row>
    <row r="571" spans="1:3" x14ac:dyDescent="0.5">
      <c r="A571" t="s">
        <v>1051</v>
      </c>
      <c r="B571" t="s">
        <v>2139</v>
      </c>
      <c r="C571" s="4" t="str">
        <f>IF(ISERROR(_xlfn.XMATCH(B571,oldlist!B:B,0)),"not found","found")</f>
        <v>not found</v>
      </c>
    </row>
    <row r="572" spans="1:3" x14ac:dyDescent="0.5">
      <c r="A572" t="s">
        <v>1051</v>
      </c>
      <c r="B572" t="s">
        <v>2221</v>
      </c>
      <c r="C572" s="4" t="str">
        <f>IF(ISERROR(_xlfn.XMATCH(B572,oldlist!B:B,0)),"not found","found")</f>
        <v>not found</v>
      </c>
    </row>
    <row r="573" spans="1:3" x14ac:dyDescent="0.5">
      <c r="A573" t="s">
        <v>1051</v>
      </c>
      <c r="B573" t="s">
        <v>2515</v>
      </c>
      <c r="C573" s="4" t="str">
        <f>IF(ISERROR(_xlfn.XMATCH(B573,oldlist!B:B,0)),"not found","found")</f>
        <v>not found</v>
      </c>
    </row>
    <row r="574" spans="1:3" x14ac:dyDescent="0.5">
      <c r="A574" t="s">
        <v>1051</v>
      </c>
      <c r="B574" t="s">
        <v>2045</v>
      </c>
      <c r="C574" s="4" t="str">
        <f>IF(ISERROR(_xlfn.XMATCH(B574,oldlist!B:B,0)),"not found","found")</f>
        <v>found</v>
      </c>
    </row>
    <row r="575" spans="1:3" x14ac:dyDescent="0.5">
      <c r="A575" t="s">
        <v>1051</v>
      </c>
      <c r="B575" t="s">
        <v>2655</v>
      </c>
      <c r="C575" s="4" t="str">
        <f>IF(ISERROR(_xlfn.XMATCH(B575,oldlist!B:B,0)),"not found","found")</f>
        <v>not found</v>
      </c>
    </row>
    <row r="576" spans="1:3" x14ac:dyDescent="0.5">
      <c r="A576" t="s">
        <v>1051</v>
      </c>
      <c r="B576" t="s">
        <v>2305</v>
      </c>
      <c r="C576" s="4" t="str">
        <f>IF(ISERROR(_xlfn.XMATCH(B576,oldlist!B:B,0)),"not found","found")</f>
        <v>not found</v>
      </c>
    </row>
    <row r="577" spans="1:3" x14ac:dyDescent="0.5">
      <c r="A577" t="s">
        <v>1051</v>
      </c>
      <c r="B577" t="s">
        <v>1299</v>
      </c>
      <c r="C577" s="4" t="str">
        <f>IF(ISERROR(_xlfn.XMATCH(B577,oldlist!B:B,0)),"not found","found")</f>
        <v>found</v>
      </c>
    </row>
    <row r="578" spans="1:3" x14ac:dyDescent="0.5">
      <c r="A578" t="s">
        <v>1051</v>
      </c>
      <c r="B578" t="s">
        <v>1149</v>
      </c>
      <c r="C578" s="4" t="str">
        <f>IF(ISERROR(_xlfn.XMATCH(B578,oldlist!B:B,0)),"not found","found")</f>
        <v>found</v>
      </c>
    </row>
    <row r="579" spans="1:3" x14ac:dyDescent="0.5">
      <c r="A579" t="s">
        <v>1051</v>
      </c>
      <c r="B579" t="s">
        <v>2523</v>
      </c>
      <c r="C579" s="4" t="str">
        <f>IF(ISERROR(_xlfn.XMATCH(B579,oldlist!B:B,0)),"not found","found")</f>
        <v>not found</v>
      </c>
    </row>
    <row r="580" spans="1:3" x14ac:dyDescent="0.5">
      <c r="A580" t="s">
        <v>1051</v>
      </c>
      <c r="B580" t="s">
        <v>2779</v>
      </c>
      <c r="C580" s="4" t="str">
        <f>IF(ISERROR(_xlfn.XMATCH(B580,oldlist!B:B,0)),"not found","found")</f>
        <v>not found</v>
      </c>
    </row>
    <row r="581" spans="1:3" x14ac:dyDescent="0.5">
      <c r="A581" t="s">
        <v>1051</v>
      </c>
      <c r="B581" t="s">
        <v>2213</v>
      </c>
      <c r="C581" s="4" t="str">
        <f>IF(ISERROR(_xlfn.XMATCH(B581,oldlist!B:B,0)),"not found","found")</f>
        <v>found</v>
      </c>
    </row>
    <row r="582" spans="1:3" x14ac:dyDescent="0.5">
      <c r="A582" t="s">
        <v>1051</v>
      </c>
      <c r="B582" t="s">
        <v>2163</v>
      </c>
      <c r="C582" s="4" t="str">
        <f>IF(ISERROR(_xlfn.XMATCH(B582,oldlist!B:B,0)),"not found","found")</f>
        <v>found</v>
      </c>
    </row>
    <row r="583" spans="1:3" x14ac:dyDescent="0.5">
      <c r="A583" t="s">
        <v>1051</v>
      </c>
      <c r="B583" t="s">
        <v>1075</v>
      </c>
      <c r="C583" s="4" t="str">
        <f>IF(ISERROR(_xlfn.XMATCH(B583,oldlist!B:B,0)),"not found","found")</f>
        <v>found</v>
      </c>
    </row>
    <row r="584" spans="1:3" x14ac:dyDescent="0.5">
      <c r="A584" t="s">
        <v>1051</v>
      </c>
      <c r="B584" t="s">
        <v>1067</v>
      </c>
      <c r="C584" s="4" t="str">
        <f>IF(ISERROR(_xlfn.XMATCH(B584,oldlist!B:B,0)),"not found","found")</f>
        <v>found</v>
      </c>
    </row>
    <row r="585" spans="1:3" x14ac:dyDescent="0.5">
      <c r="A585" t="s">
        <v>1051</v>
      </c>
      <c r="B585" t="s">
        <v>1517</v>
      </c>
      <c r="C585" s="4" t="str">
        <f>IF(ISERROR(_xlfn.XMATCH(B585,oldlist!B:B,0)),"not found","found")</f>
        <v>found</v>
      </c>
    </row>
    <row r="586" spans="1:3" x14ac:dyDescent="0.5">
      <c r="A586" t="s">
        <v>1051</v>
      </c>
      <c r="B586" t="s">
        <v>1217</v>
      </c>
      <c r="C586" s="4" t="str">
        <f>IF(ISERROR(_xlfn.XMATCH(B586,oldlist!B:B,0)),"not found","found")</f>
        <v>found</v>
      </c>
    </row>
    <row r="587" spans="1:3" x14ac:dyDescent="0.5">
      <c r="A587" t="s">
        <v>1051</v>
      </c>
      <c r="B587" t="s">
        <v>2103</v>
      </c>
      <c r="C587" s="4" t="str">
        <f>IF(ISERROR(_xlfn.XMATCH(B587,oldlist!B:B,0)),"not found","found")</f>
        <v>found</v>
      </c>
    </row>
    <row r="588" spans="1:3" x14ac:dyDescent="0.5">
      <c r="A588" t="s">
        <v>1051</v>
      </c>
      <c r="B588" t="s">
        <v>1869</v>
      </c>
      <c r="C588" s="4" t="str">
        <f>IF(ISERROR(_xlfn.XMATCH(B588,oldlist!B:B,0)),"not found","found")</f>
        <v>found</v>
      </c>
    </row>
    <row r="589" spans="1:3" x14ac:dyDescent="0.5">
      <c r="A589" t="s">
        <v>1051</v>
      </c>
      <c r="B589" t="s">
        <v>2193</v>
      </c>
      <c r="C589" s="4" t="str">
        <f>IF(ISERROR(_xlfn.XMATCH(B589,oldlist!B:B,0)),"not found","found")</f>
        <v>found</v>
      </c>
    </row>
    <row r="590" spans="1:3" x14ac:dyDescent="0.5">
      <c r="A590" t="s">
        <v>1051</v>
      </c>
      <c r="B590" t="s">
        <v>2115</v>
      </c>
      <c r="C590" s="4" t="str">
        <f>IF(ISERROR(_xlfn.XMATCH(B590,oldlist!B:B,0)),"not found","found")</f>
        <v>found</v>
      </c>
    </row>
    <row r="591" spans="1:3" x14ac:dyDescent="0.5">
      <c r="A591" t="s">
        <v>1051</v>
      </c>
      <c r="B591" t="s">
        <v>1523</v>
      </c>
      <c r="C591" s="4" t="str">
        <f>IF(ISERROR(_xlfn.XMATCH(B591,oldlist!B:B,0)),"not found","found")</f>
        <v>found</v>
      </c>
    </row>
    <row r="592" spans="1:3" x14ac:dyDescent="0.5">
      <c r="A592" t="s">
        <v>1051</v>
      </c>
      <c r="B592" t="s">
        <v>1093</v>
      </c>
      <c r="C592" s="4" t="str">
        <f>IF(ISERROR(_xlfn.XMATCH(B592,oldlist!B:B,0)),"not found","found")</f>
        <v>found</v>
      </c>
    </row>
    <row r="593" spans="1:3" x14ac:dyDescent="0.5">
      <c r="A593" t="s">
        <v>1051</v>
      </c>
      <c r="B593" t="s">
        <v>2375</v>
      </c>
      <c r="C593" s="4" t="str">
        <f>IF(ISERROR(_xlfn.XMATCH(B593,oldlist!B:B,0)),"not found","found")</f>
        <v>found</v>
      </c>
    </row>
    <row r="594" spans="1:3" x14ac:dyDescent="0.5">
      <c r="A594" t="s">
        <v>1051</v>
      </c>
      <c r="B594" t="s">
        <v>2513</v>
      </c>
      <c r="C594" s="4" t="str">
        <f>IF(ISERROR(_xlfn.XMATCH(B594,oldlist!B:B,0)),"not found","found")</f>
        <v>not found</v>
      </c>
    </row>
    <row r="595" spans="1:3" x14ac:dyDescent="0.5">
      <c r="A595" t="s">
        <v>1051</v>
      </c>
      <c r="B595" t="s">
        <v>1883</v>
      </c>
      <c r="C595" s="4" t="str">
        <f>IF(ISERROR(_xlfn.XMATCH(B595,oldlist!B:B,0)),"not found","found")</f>
        <v>found</v>
      </c>
    </row>
    <row r="596" spans="1:3" x14ac:dyDescent="0.5">
      <c r="A596" t="s">
        <v>1051</v>
      </c>
      <c r="B596" t="s">
        <v>1741</v>
      </c>
      <c r="C596" s="4" t="str">
        <f>IF(ISERROR(_xlfn.XMATCH(B596,oldlist!B:B,0)),"not found","found")</f>
        <v>found</v>
      </c>
    </row>
    <row r="597" spans="1:3" x14ac:dyDescent="0.5">
      <c r="A597" t="s">
        <v>1051</v>
      </c>
      <c r="B597" t="s">
        <v>2175</v>
      </c>
      <c r="C597" s="4" t="str">
        <f>IF(ISERROR(_xlfn.XMATCH(B597,oldlist!B:B,0)),"not found","found")</f>
        <v>found</v>
      </c>
    </row>
    <row r="598" spans="1:3" x14ac:dyDescent="0.5">
      <c r="A598" t="s">
        <v>1051</v>
      </c>
      <c r="B598" t="s">
        <v>2289</v>
      </c>
      <c r="C598" s="4" t="str">
        <f>IF(ISERROR(_xlfn.XMATCH(B598,oldlist!B:B,0)),"not found","found")</f>
        <v>found</v>
      </c>
    </row>
    <row r="599" spans="1:3" x14ac:dyDescent="0.5">
      <c r="A599" t="s">
        <v>1051</v>
      </c>
      <c r="B599" t="s">
        <v>1917</v>
      </c>
      <c r="C599" s="4" t="str">
        <f>IF(ISERROR(_xlfn.XMATCH(B599,oldlist!B:B,0)),"not found","found")</f>
        <v>found</v>
      </c>
    </row>
    <row r="600" spans="1:3" x14ac:dyDescent="0.5">
      <c r="A600" t="s">
        <v>1051</v>
      </c>
      <c r="B600" t="s">
        <v>1385</v>
      </c>
      <c r="C600" s="4" t="str">
        <f>IF(ISERROR(_xlfn.XMATCH(B600,oldlist!B:B,0)),"not found","found")</f>
        <v>found</v>
      </c>
    </row>
    <row r="601" spans="1:3" x14ac:dyDescent="0.5">
      <c r="A601" t="s">
        <v>1051</v>
      </c>
      <c r="B601" t="s">
        <v>1289</v>
      </c>
      <c r="C601" s="4" t="str">
        <f>IF(ISERROR(_xlfn.XMATCH(B601,oldlist!B:B,0)),"not found","found")</f>
        <v>found</v>
      </c>
    </row>
    <row r="602" spans="1:3" x14ac:dyDescent="0.5">
      <c r="A602" t="s">
        <v>1051</v>
      </c>
      <c r="B602" t="s">
        <v>1809</v>
      </c>
      <c r="C602" s="4" t="str">
        <f>IF(ISERROR(_xlfn.XMATCH(B602,oldlist!B:B,0)),"not found","found")</f>
        <v>found</v>
      </c>
    </row>
    <row r="603" spans="1:3" x14ac:dyDescent="0.5">
      <c r="A603" t="s">
        <v>1051</v>
      </c>
      <c r="B603" t="s">
        <v>2459</v>
      </c>
      <c r="C603" s="4" t="str">
        <f>IF(ISERROR(_xlfn.XMATCH(B603,oldlist!B:B,0)),"not found","found")</f>
        <v>found</v>
      </c>
    </row>
    <row r="604" spans="1:3" x14ac:dyDescent="0.5">
      <c r="A604" t="s">
        <v>1051</v>
      </c>
      <c r="B604" t="s">
        <v>1701</v>
      </c>
      <c r="C604" s="4" t="str">
        <f>IF(ISERROR(_xlfn.XMATCH(B604,oldlist!B:B,0)),"not found","found")</f>
        <v>found</v>
      </c>
    </row>
    <row r="605" spans="1:3" x14ac:dyDescent="0.5">
      <c r="A605" t="s">
        <v>1051</v>
      </c>
      <c r="B605" t="s">
        <v>2777</v>
      </c>
      <c r="C605" s="4" t="str">
        <f>IF(ISERROR(_xlfn.XMATCH(B605,oldlist!B:B,0)),"not found","found")</f>
        <v>found</v>
      </c>
    </row>
    <row r="606" spans="1:3" x14ac:dyDescent="0.5">
      <c r="A606" t="s">
        <v>1051</v>
      </c>
      <c r="B606" t="s">
        <v>1231</v>
      </c>
      <c r="C606" s="4" t="str">
        <f>IF(ISERROR(_xlfn.XMATCH(B606,oldlist!B:B,0)),"not found","found")</f>
        <v>found</v>
      </c>
    </row>
    <row r="607" spans="1:3" x14ac:dyDescent="0.5">
      <c r="A607" t="s">
        <v>1051</v>
      </c>
      <c r="B607" t="s">
        <v>1687</v>
      </c>
      <c r="C607" s="4" t="str">
        <f>IF(ISERROR(_xlfn.XMATCH(B607,oldlist!B:B,0)),"not found","found")</f>
        <v>found</v>
      </c>
    </row>
    <row r="608" spans="1:3" x14ac:dyDescent="0.5">
      <c r="A608" t="s">
        <v>1051</v>
      </c>
      <c r="B608" t="s">
        <v>2597</v>
      </c>
      <c r="C608" s="4" t="str">
        <f>IF(ISERROR(_xlfn.XMATCH(B608,oldlist!B:B,0)),"not found","found")</f>
        <v>not found</v>
      </c>
    </row>
    <row r="609" spans="1:3" x14ac:dyDescent="0.5">
      <c r="A609" t="s">
        <v>1051</v>
      </c>
      <c r="B609" t="s">
        <v>2741</v>
      </c>
      <c r="C609" s="4" t="str">
        <f>IF(ISERROR(_xlfn.XMATCH(B609,oldlist!B:B,0)),"not found","found")</f>
        <v>found</v>
      </c>
    </row>
    <row r="610" spans="1:3" x14ac:dyDescent="0.5">
      <c r="A610" t="s">
        <v>1051</v>
      </c>
      <c r="B610" t="s">
        <v>2169</v>
      </c>
      <c r="C610" s="4" t="str">
        <f>IF(ISERROR(_xlfn.XMATCH(B610,oldlist!B:B,0)),"not found","found")</f>
        <v>found</v>
      </c>
    </row>
    <row r="611" spans="1:3" x14ac:dyDescent="0.5">
      <c r="A611" t="s">
        <v>1051</v>
      </c>
      <c r="B611" t="s">
        <v>1307</v>
      </c>
      <c r="C611" s="4" t="str">
        <f>IF(ISERROR(_xlfn.XMATCH(B611,oldlist!B:B,0)),"not found","found")</f>
        <v>found</v>
      </c>
    </row>
    <row r="612" spans="1:3" x14ac:dyDescent="0.5">
      <c r="A612" t="s">
        <v>1051</v>
      </c>
      <c r="B612" t="s">
        <v>2667</v>
      </c>
      <c r="C612" s="4" t="str">
        <f>IF(ISERROR(_xlfn.XMATCH(B612,oldlist!B:B,0)),"not found","found")</f>
        <v>not found</v>
      </c>
    </row>
    <row r="613" spans="1:3" x14ac:dyDescent="0.5">
      <c r="A613" t="s">
        <v>1051</v>
      </c>
      <c r="B613" t="s">
        <v>2679</v>
      </c>
      <c r="C613" s="4" t="str">
        <f>IF(ISERROR(_xlfn.XMATCH(B613,oldlist!B:B,0)),"not found","found")</f>
        <v>found</v>
      </c>
    </row>
    <row r="614" spans="1:3" x14ac:dyDescent="0.5">
      <c r="A614" t="s">
        <v>1051</v>
      </c>
      <c r="B614" t="s">
        <v>1263</v>
      </c>
      <c r="C614" s="4" t="str">
        <f>IF(ISERROR(_xlfn.XMATCH(B614,oldlist!B:B,0)),"not found","found")</f>
        <v>found</v>
      </c>
    </row>
    <row r="615" spans="1:3" x14ac:dyDescent="0.5">
      <c r="A615" t="s">
        <v>1051</v>
      </c>
      <c r="B615" t="s">
        <v>1731</v>
      </c>
      <c r="C615" s="4" t="str">
        <f>IF(ISERROR(_xlfn.XMATCH(B615,oldlist!B:B,0)),"not found","found")</f>
        <v>found</v>
      </c>
    </row>
    <row r="616" spans="1:3" x14ac:dyDescent="0.5">
      <c r="A616" t="s">
        <v>1051</v>
      </c>
      <c r="B616" t="s">
        <v>1195</v>
      </c>
      <c r="C616" s="4" t="str">
        <f>IF(ISERROR(_xlfn.XMATCH(B616,oldlist!B:B,0)),"not found","found")</f>
        <v>found</v>
      </c>
    </row>
    <row r="617" spans="1:3" x14ac:dyDescent="0.5">
      <c r="A617" t="s">
        <v>1051</v>
      </c>
      <c r="B617" t="s">
        <v>1531</v>
      </c>
      <c r="C617" s="4" t="str">
        <f>IF(ISERROR(_xlfn.XMATCH(B617,oldlist!B:B,0)),"not found","found")</f>
        <v>found</v>
      </c>
    </row>
    <row r="618" spans="1:3" x14ac:dyDescent="0.5">
      <c r="A618" t="s">
        <v>1051</v>
      </c>
      <c r="B618" t="s">
        <v>2651</v>
      </c>
      <c r="C618" s="4" t="str">
        <f>IF(ISERROR(_xlfn.XMATCH(B618,oldlist!B:B,0)),"not found","found")</f>
        <v>not found</v>
      </c>
    </row>
    <row r="619" spans="1:3" x14ac:dyDescent="0.5">
      <c r="A619" t="s">
        <v>1051</v>
      </c>
      <c r="B619" t="s">
        <v>1717</v>
      </c>
      <c r="C619" s="4" t="str">
        <f>IF(ISERROR(_xlfn.XMATCH(B619,oldlist!B:B,0)),"not found","found")</f>
        <v>found</v>
      </c>
    </row>
    <row r="620" spans="1:3" x14ac:dyDescent="0.5">
      <c r="A620" t="s">
        <v>1051</v>
      </c>
      <c r="B620" t="s">
        <v>2335</v>
      </c>
      <c r="C620" s="4" t="str">
        <f>IF(ISERROR(_xlfn.XMATCH(B620,oldlist!B:B,0)),"not found","found")</f>
        <v>found</v>
      </c>
    </row>
    <row r="621" spans="1:3" x14ac:dyDescent="0.5">
      <c r="A621" t="s">
        <v>1051</v>
      </c>
      <c r="B621" t="s">
        <v>1355</v>
      </c>
      <c r="C621" s="4" t="str">
        <f>IF(ISERROR(_xlfn.XMATCH(B621,oldlist!B:B,0)),"not found","found")</f>
        <v>found</v>
      </c>
    </row>
    <row r="622" spans="1:3" x14ac:dyDescent="0.5">
      <c r="A622" t="s">
        <v>1051</v>
      </c>
      <c r="B622" t="s">
        <v>2003</v>
      </c>
      <c r="C622" s="4" t="str">
        <f>IF(ISERROR(_xlfn.XMATCH(B622,oldlist!B:B,0)),"not found","found")</f>
        <v>found</v>
      </c>
    </row>
    <row r="623" spans="1:3" x14ac:dyDescent="0.5">
      <c r="A623" t="s">
        <v>1051</v>
      </c>
      <c r="B623" t="s">
        <v>2071</v>
      </c>
      <c r="C623" s="4" t="str">
        <f>IF(ISERROR(_xlfn.XMATCH(B623,oldlist!B:B,0)),"not found","found")</f>
        <v>found</v>
      </c>
    </row>
    <row r="624" spans="1:3" x14ac:dyDescent="0.5">
      <c r="A624" t="s">
        <v>1051</v>
      </c>
      <c r="B624" t="s">
        <v>1707</v>
      </c>
      <c r="C624" s="4" t="str">
        <f>IF(ISERROR(_xlfn.XMATCH(B624,oldlist!B:B,0)),"not found","found")</f>
        <v>found</v>
      </c>
    </row>
    <row r="625" spans="1:3" x14ac:dyDescent="0.5">
      <c r="A625" t="s">
        <v>1051</v>
      </c>
      <c r="B625" t="s">
        <v>1843</v>
      </c>
      <c r="C625" s="4" t="str">
        <f>IF(ISERROR(_xlfn.XMATCH(B625,oldlist!B:B,0)),"not found","found")</f>
        <v>found</v>
      </c>
    </row>
    <row r="626" spans="1:3" x14ac:dyDescent="0.5">
      <c r="A626" t="s">
        <v>1051</v>
      </c>
      <c r="B626" t="s">
        <v>1101</v>
      </c>
      <c r="C626" s="4" t="str">
        <f>IF(ISERROR(_xlfn.XMATCH(B626,oldlist!B:B,0)),"not found","found")</f>
        <v>found</v>
      </c>
    </row>
    <row r="627" spans="1:3" x14ac:dyDescent="0.5">
      <c r="A627" t="s">
        <v>1051</v>
      </c>
      <c r="B627" t="s">
        <v>1381</v>
      </c>
      <c r="C627" s="4" t="str">
        <f>IF(ISERROR(_xlfn.XMATCH(B627,oldlist!B:B,0)),"not found","found")</f>
        <v>found</v>
      </c>
    </row>
    <row r="628" spans="1:3" x14ac:dyDescent="0.5">
      <c r="A628" t="s">
        <v>1051</v>
      </c>
      <c r="B628" t="s">
        <v>2365</v>
      </c>
      <c r="C628" s="4" t="str">
        <f>IF(ISERROR(_xlfn.XMATCH(B628,oldlist!B:B,0)),"not found","found")</f>
        <v>found</v>
      </c>
    </row>
    <row r="629" spans="1:3" x14ac:dyDescent="0.5">
      <c r="A629" t="s">
        <v>1051</v>
      </c>
      <c r="B629" t="s">
        <v>2653</v>
      </c>
      <c r="C629" s="4" t="str">
        <f>IF(ISERROR(_xlfn.XMATCH(B629,oldlist!B:B,0)),"not found","found")</f>
        <v>found</v>
      </c>
    </row>
    <row r="630" spans="1:3" x14ac:dyDescent="0.5">
      <c r="A630" t="s">
        <v>1051</v>
      </c>
      <c r="B630" t="s">
        <v>1777</v>
      </c>
      <c r="C630" s="4" t="str">
        <f>IF(ISERROR(_xlfn.XMATCH(B630,oldlist!B:B,0)),"not found","found")</f>
        <v>found</v>
      </c>
    </row>
    <row r="631" spans="1:3" x14ac:dyDescent="0.5">
      <c r="A631" t="s">
        <v>1051</v>
      </c>
      <c r="B631" t="s">
        <v>1403</v>
      </c>
      <c r="C631" s="4" t="str">
        <f>IF(ISERROR(_xlfn.XMATCH(B631,oldlist!B:B,0)),"not found","found")</f>
        <v>found</v>
      </c>
    </row>
    <row r="632" spans="1:3" x14ac:dyDescent="0.5">
      <c r="A632" t="s">
        <v>1051</v>
      </c>
      <c r="B632" t="s">
        <v>2119</v>
      </c>
      <c r="C632" s="4" t="str">
        <f>IF(ISERROR(_xlfn.XMATCH(B632,oldlist!B:B,0)),"not found","found")</f>
        <v>not found</v>
      </c>
    </row>
    <row r="633" spans="1:3" x14ac:dyDescent="0.5">
      <c r="A633" t="s">
        <v>1051</v>
      </c>
      <c r="B633" t="s">
        <v>1593</v>
      </c>
      <c r="C633" s="4" t="str">
        <f>IF(ISERROR(_xlfn.XMATCH(B633,oldlist!B:B,0)),"not found","found")</f>
        <v>found</v>
      </c>
    </row>
    <row r="634" spans="1:3" x14ac:dyDescent="0.5">
      <c r="A634" t="s">
        <v>1051</v>
      </c>
      <c r="B634" t="s">
        <v>1771</v>
      </c>
      <c r="C634" s="4" t="str">
        <f>IF(ISERROR(_xlfn.XMATCH(B634,oldlist!B:B,0)),"not found","found")</f>
        <v>found</v>
      </c>
    </row>
    <row r="635" spans="1:3" x14ac:dyDescent="0.5">
      <c r="A635" t="s">
        <v>1051</v>
      </c>
      <c r="B635" t="s">
        <v>2069</v>
      </c>
      <c r="C635" s="4" t="str">
        <f>IF(ISERROR(_xlfn.XMATCH(B635,oldlist!B:B,0)),"not found","found")</f>
        <v>found</v>
      </c>
    </row>
    <row r="636" spans="1:3" x14ac:dyDescent="0.5">
      <c r="A636" t="s">
        <v>1051</v>
      </c>
      <c r="B636" t="s">
        <v>2047</v>
      </c>
      <c r="C636" s="4" t="str">
        <f>IF(ISERROR(_xlfn.XMATCH(B636,oldlist!B:B,0)),"not found","found")</f>
        <v>found</v>
      </c>
    </row>
    <row r="637" spans="1:3" x14ac:dyDescent="0.5">
      <c r="A637" t="s">
        <v>1051</v>
      </c>
      <c r="B637" t="s">
        <v>1873</v>
      </c>
      <c r="C637" s="4" t="str">
        <f>IF(ISERROR(_xlfn.XMATCH(B637,oldlist!B:B,0)),"not found","found")</f>
        <v>found</v>
      </c>
    </row>
    <row r="638" spans="1:3" x14ac:dyDescent="0.5">
      <c r="A638" t="s">
        <v>1051</v>
      </c>
      <c r="B638" t="s">
        <v>1209</v>
      </c>
      <c r="C638" s="4" t="str">
        <f>IF(ISERROR(_xlfn.XMATCH(B638,oldlist!B:B,0)),"not found","found")</f>
        <v>found</v>
      </c>
    </row>
    <row r="639" spans="1:3" x14ac:dyDescent="0.5">
      <c r="A639" t="s">
        <v>1051</v>
      </c>
      <c r="B639" t="s">
        <v>1325</v>
      </c>
      <c r="C639" s="4" t="str">
        <f>IF(ISERROR(_xlfn.XMATCH(B639,oldlist!B:B,0)),"not found","found")</f>
        <v>found</v>
      </c>
    </row>
    <row r="640" spans="1:3" x14ac:dyDescent="0.5">
      <c r="A640" t="s">
        <v>1051</v>
      </c>
      <c r="B640" t="s">
        <v>1135</v>
      </c>
      <c r="C640" s="4" t="str">
        <f>IF(ISERROR(_xlfn.XMATCH(B640,oldlist!B:B,0)),"not found","found")</f>
        <v>found</v>
      </c>
    </row>
    <row r="641" spans="1:3" x14ac:dyDescent="0.5">
      <c r="A641" t="s">
        <v>1051</v>
      </c>
      <c r="B641" t="s">
        <v>1447</v>
      </c>
      <c r="C641" s="4" t="str">
        <f>IF(ISERROR(_xlfn.XMATCH(B641,oldlist!B:B,0)),"not found","found")</f>
        <v>found</v>
      </c>
    </row>
    <row r="642" spans="1:3" x14ac:dyDescent="0.5">
      <c r="A642" t="s">
        <v>1051</v>
      </c>
      <c r="B642" t="s">
        <v>2441</v>
      </c>
      <c r="C642" s="4" t="str">
        <f>IF(ISERROR(_xlfn.XMATCH(B642,oldlist!B:B,0)),"not found","found")</f>
        <v>not found</v>
      </c>
    </row>
    <row r="643" spans="1:3" x14ac:dyDescent="0.5">
      <c r="A643" t="s">
        <v>1051</v>
      </c>
      <c r="B643" t="s">
        <v>1763</v>
      </c>
      <c r="C643" s="4" t="str">
        <f>IF(ISERROR(_xlfn.XMATCH(B643,oldlist!B:B,0)),"not found","found")</f>
        <v>found</v>
      </c>
    </row>
    <row r="644" spans="1:3" x14ac:dyDescent="0.5">
      <c r="A644" t="s">
        <v>1051</v>
      </c>
      <c r="B644" t="s">
        <v>2371</v>
      </c>
      <c r="C644" s="4" t="str">
        <f>IF(ISERROR(_xlfn.XMATCH(B644,oldlist!B:B,0)),"not found","found")</f>
        <v>not found</v>
      </c>
    </row>
    <row r="645" spans="1:3" x14ac:dyDescent="0.5">
      <c r="A645" t="s">
        <v>1051</v>
      </c>
      <c r="B645" t="s">
        <v>2483</v>
      </c>
      <c r="C645" s="4" t="str">
        <f>IF(ISERROR(_xlfn.XMATCH(B645,oldlist!B:B,0)),"not found","found")</f>
        <v>not found</v>
      </c>
    </row>
    <row r="646" spans="1:3" x14ac:dyDescent="0.5">
      <c r="A646" t="s">
        <v>1051</v>
      </c>
      <c r="B646" t="s">
        <v>2051</v>
      </c>
      <c r="C646" s="4" t="str">
        <f>IF(ISERROR(_xlfn.XMATCH(B646,oldlist!B:B,0)),"not found","found")</f>
        <v>found</v>
      </c>
    </row>
    <row r="647" spans="1:3" x14ac:dyDescent="0.5">
      <c r="A647" t="s">
        <v>1051</v>
      </c>
      <c r="B647" t="s">
        <v>2011</v>
      </c>
      <c r="C647" s="4" t="str">
        <f>IF(ISERROR(_xlfn.XMATCH(B647,oldlist!B:B,0)),"not found","found")</f>
        <v>found</v>
      </c>
    </row>
    <row r="648" spans="1:3" x14ac:dyDescent="0.5">
      <c r="A648" t="s">
        <v>1051</v>
      </c>
      <c r="B648" t="s">
        <v>2719</v>
      </c>
      <c r="C648" s="4" t="str">
        <f>IF(ISERROR(_xlfn.XMATCH(B648,oldlist!B:B,0)),"not found","found")</f>
        <v>not found</v>
      </c>
    </row>
    <row r="649" spans="1:3" x14ac:dyDescent="0.5">
      <c r="A649" t="s">
        <v>1051</v>
      </c>
      <c r="B649" t="s">
        <v>1183</v>
      </c>
      <c r="C649" s="4" t="str">
        <f>IF(ISERROR(_xlfn.XMATCH(B649,oldlist!B:B,0)),"not found","found")</f>
        <v>found</v>
      </c>
    </row>
    <row r="650" spans="1:3" x14ac:dyDescent="0.5">
      <c r="A650" t="s">
        <v>1051</v>
      </c>
      <c r="B650" t="s">
        <v>2185</v>
      </c>
      <c r="C650" s="4" t="str">
        <f>IF(ISERROR(_xlfn.XMATCH(B650,oldlist!B:B,0)),"not found","found")</f>
        <v>not found</v>
      </c>
    </row>
    <row r="651" spans="1:3" x14ac:dyDescent="0.5">
      <c r="A651" t="s">
        <v>1051</v>
      </c>
      <c r="B651" t="s">
        <v>1583</v>
      </c>
      <c r="C651" s="4" t="str">
        <f>IF(ISERROR(_xlfn.XMATCH(B651,oldlist!B:B,0)),"not found","found")</f>
        <v>found</v>
      </c>
    </row>
    <row r="652" spans="1:3" x14ac:dyDescent="0.5">
      <c r="A652" t="s">
        <v>1051</v>
      </c>
      <c r="B652" t="s">
        <v>2351</v>
      </c>
      <c r="C652" s="4" t="str">
        <f>IF(ISERROR(_xlfn.XMATCH(B652,oldlist!B:B,0)),"not found","found")</f>
        <v>found</v>
      </c>
    </row>
    <row r="653" spans="1:3" x14ac:dyDescent="0.5">
      <c r="A653" t="s">
        <v>1051</v>
      </c>
      <c r="B653" t="s">
        <v>2137</v>
      </c>
      <c r="C653" s="4" t="str">
        <f>IF(ISERROR(_xlfn.XMATCH(B653,oldlist!B:B,0)),"not found","found")</f>
        <v>found</v>
      </c>
    </row>
    <row r="654" spans="1:3" x14ac:dyDescent="0.5">
      <c r="A654" t="s">
        <v>1051</v>
      </c>
      <c r="B654" t="s">
        <v>1811</v>
      </c>
      <c r="C654" s="4" t="str">
        <f>IF(ISERROR(_xlfn.XMATCH(B654,oldlist!B:B,0)),"not found","found")</f>
        <v>found</v>
      </c>
    </row>
    <row r="655" spans="1:3" x14ac:dyDescent="0.5">
      <c r="A655" t="s">
        <v>1051</v>
      </c>
      <c r="B655" t="s">
        <v>1579</v>
      </c>
      <c r="C655" s="4" t="str">
        <f>IF(ISERROR(_xlfn.XMATCH(B655,oldlist!B:B,0)),"not found","found")</f>
        <v>found</v>
      </c>
    </row>
    <row r="656" spans="1:3" x14ac:dyDescent="0.5">
      <c r="A656" t="s">
        <v>1051</v>
      </c>
      <c r="B656" t="s">
        <v>1801</v>
      </c>
      <c r="C656" s="4" t="str">
        <f>IF(ISERROR(_xlfn.XMATCH(B656,oldlist!B:B,0)),"not found","found")</f>
        <v>found</v>
      </c>
    </row>
    <row r="657" spans="1:3" x14ac:dyDescent="0.5">
      <c r="A657" t="s">
        <v>1051</v>
      </c>
      <c r="B657" t="s">
        <v>1725</v>
      </c>
      <c r="C657" s="4" t="str">
        <f>IF(ISERROR(_xlfn.XMATCH(B657,oldlist!B:B,0)),"not found","found")</f>
        <v>found</v>
      </c>
    </row>
    <row r="658" spans="1:3" x14ac:dyDescent="0.5">
      <c r="A658" t="s">
        <v>1051</v>
      </c>
      <c r="B658" t="s">
        <v>2439</v>
      </c>
      <c r="C658" s="4" t="str">
        <f>IF(ISERROR(_xlfn.XMATCH(B658,oldlist!B:B,0)),"not found","found")</f>
        <v>not found</v>
      </c>
    </row>
    <row r="659" spans="1:3" x14ac:dyDescent="0.5">
      <c r="A659" t="s">
        <v>1051</v>
      </c>
      <c r="B659" t="s">
        <v>1567</v>
      </c>
      <c r="C659" s="4" t="str">
        <f>IF(ISERROR(_xlfn.XMATCH(B659,oldlist!B:B,0)),"not found","found")</f>
        <v>found</v>
      </c>
    </row>
    <row r="660" spans="1:3" x14ac:dyDescent="0.5">
      <c r="A660" t="s">
        <v>1051</v>
      </c>
      <c r="B660" t="s">
        <v>2527</v>
      </c>
      <c r="C660" s="4" t="str">
        <f>IF(ISERROR(_xlfn.XMATCH(B660,oldlist!B:B,0)),"not found","found")</f>
        <v>not found</v>
      </c>
    </row>
    <row r="661" spans="1:3" x14ac:dyDescent="0.5">
      <c r="A661" t="s">
        <v>1051</v>
      </c>
      <c r="B661" t="s">
        <v>2229</v>
      </c>
      <c r="C661" s="4" t="str">
        <f>IF(ISERROR(_xlfn.XMATCH(B661,oldlist!B:B,0)),"not found","found")</f>
        <v>found</v>
      </c>
    </row>
    <row r="662" spans="1:3" x14ac:dyDescent="0.5">
      <c r="A662" t="s">
        <v>1051</v>
      </c>
      <c r="B662" t="s">
        <v>2157</v>
      </c>
      <c r="C662" s="4" t="str">
        <f>IF(ISERROR(_xlfn.XMATCH(B662,oldlist!B:B,0)),"not found","found")</f>
        <v>found</v>
      </c>
    </row>
    <row r="663" spans="1:3" x14ac:dyDescent="0.5">
      <c r="A663" t="s">
        <v>1051</v>
      </c>
      <c r="B663" t="s">
        <v>2369</v>
      </c>
      <c r="C663" s="4" t="str">
        <f>IF(ISERROR(_xlfn.XMATCH(B663,oldlist!B:B,0)),"not found","found")</f>
        <v>found</v>
      </c>
    </row>
    <row r="664" spans="1:3" x14ac:dyDescent="0.5">
      <c r="A664" t="s">
        <v>1051</v>
      </c>
      <c r="B664" t="s">
        <v>1557</v>
      </c>
      <c r="C664" s="4" t="str">
        <f>IF(ISERROR(_xlfn.XMATCH(B664,oldlist!B:B,0)),"not found","found")</f>
        <v>found</v>
      </c>
    </row>
    <row r="665" spans="1:3" x14ac:dyDescent="0.5">
      <c r="A665" t="s">
        <v>1051</v>
      </c>
      <c r="B665" t="s">
        <v>1665</v>
      </c>
      <c r="C665" s="4" t="str">
        <f>IF(ISERROR(_xlfn.XMATCH(B665,oldlist!B:B,0)),"not found","found")</f>
        <v>found</v>
      </c>
    </row>
    <row r="666" spans="1:3" x14ac:dyDescent="0.5">
      <c r="A666" t="s">
        <v>1051</v>
      </c>
      <c r="B666" t="s">
        <v>2397</v>
      </c>
      <c r="C666" s="4" t="str">
        <f>IF(ISERROR(_xlfn.XMATCH(B666,oldlist!B:B,0)),"not found","found")</f>
        <v>not found</v>
      </c>
    </row>
    <row r="667" spans="1:3" x14ac:dyDescent="0.5">
      <c r="A667" t="s">
        <v>1051</v>
      </c>
      <c r="B667" t="s">
        <v>2633</v>
      </c>
      <c r="C667" s="4" t="str">
        <f>IF(ISERROR(_xlfn.XMATCH(B667,oldlist!B:B,0)),"not found","found")</f>
        <v>not found</v>
      </c>
    </row>
    <row r="668" spans="1:3" x14ac:dyDescent="0.5">
      <c r="A668" t="s">
        <v>1051</v>
      </c>
      <c r="B668" t="s">
        <v>2393</v>
      </c>
      <c r="C668" s="4" t="str">
        <f>IF(ISERROR(_xlfn.XMATCH(B668,oldlist!B:B,0)),"not found","found")</f>
        <v>not found</v>
      </c>
    </row>
    <row r="669" spans="1:3" x14ac:dyDescent="0.5">
      <c r="A669" t="s">
        <v>1051</v>
      </c>
      <c r="B669" t="s">
        <v>2409</v>
      </c>
      <c r="C669" s="4" t="str">
        <f>IF(ISERROR(_xlfn.XMATCH(B669,oldlist!B:B,0)),"not found","found")</f>
        <v>found</v>
      </c>
    </row>
    <row r="670" spans="1:3" x14ac:dyDescent="0.5">
      <c r="A670" t="s">
        <v>1051</v>
      </c>
      <c r="B670" t="s">
        <v>2183</v>
      </c>
      <c r="C670" s="4" t="str">
        <f>IF(ISERROR(_xlfn.XMATCH(B670,oldlist!B:B,0)),"not found","found")</f>
        <v>not found</v>
      </c>
    </row>
    <row r="671" spans="1:3" x14ac:dyDescent="0.5">
      <c r="A671" t="s">
        <v>1051</v>
      </c>
      <c r="B671" t="s">
        <v>2165</v>
      </c>
      <c r="C671" s="4" t="str">
        <f>IF(ISERROR(_xlfn.XMATCH(B671,oldlist!B:B,0)),"not found","found")</f>
        <v>found</v>
      </c>
    </row>
    <row r="672" spans="1:3" x14ac:dyDescent="0.5">
      <c r="A672" t="s">
        <v>1051</v>
      </c>
      <c r="B672" t="s">
        <v>2573</v>
      </c>
      <c r="C672" s="4" t="str">
        <f>IF(ISERROR(_xlfn.XMATCH(B672,oldlist!B:B,0)),"not found","found")</f>
        <v>not found</v>
      </c>
    </row>
    <row r="673" spans="1:3" x14ac:dyDescent="0.5">
      <c r="A673" t="s">
        <v>1051</v>
      </c>
      <c r="B673" t="s">
        <v>1719</v>
      </c>
      <c r="C673" s="4" t="str">
        <f>IF(ISERROR(_xlfn.XMATCH(B673,oldlist!B:B,0)),"not found","found")</f>
        <v>found</v>
      </c>
    </row>
    <row r="674" spans="1:3" x14ac:dyDescent="0.5">
      <c r="A674" t="s">
        <v>1051</v>
      </c>
      <c r="B674" t="s">
        <v>1705</v>
      </c>
      <c r="C674" s="4" t="str">
        <f>IF(ISERROR(_xlfn.XMATCH(B674,oldlist!B:B,0)),"not found","found")</f>
        <v>found</v>
      </c>
    </row>
    <row r="675" spans="1:3" x14ac:dyDescent="0.5">
      <c r="A675" t="s">
        <v>1051</v>
      </c>
      <c r="B675" t="s">
        <v>1233</v>
      </c>
      <c r="C675" s="4" t="str">
        <f>IF(ISERROR(_xlfn.XMATCH(B675,oldlist!B:B,0)),"not found","found")</f>
        <v>found</v>
      </c>
    </row>
    <row r="676" spans="1:3" x14ac:dyDescent="0.5">
      <c r="A676" t="s">
        <v>1051</v>
      </c>
      <c r="B676" t="s">
        <v>2373</v>
      </c>
      <c r="C676" s="4" t="str">
        <f>IF(ISERROR(_xlfn.XMATCH(B676,oldlist!B:B,0)),"not found","found")</f>
        <v>not found</v>
      </c>
    </row>
    <row r="677" spans="1:3" x14ac:dyDescent="0.5">
      <c r="A677" t="s">
        <v>1051</v>
      </c>
      <c r="B677" t="s">
        <v>1483</v>
      </c>
      <c r="C677" s="4" t="str">
        <f>IF(ISERROR(_xlfn.XMATCH(B677,oldlist!B:B,0)),"not found","found")</f>
        <v>found</v>
      </c>
    </row>
    <row r="678" spans="1:3" x14ac:dyDescent="0.5">
      <c r="A678" t="s">
        <v>1051</v>
      </c>
      <c r="B678" t="s">
        <v>1753</v>
      </c>
      <c r="C678" s="4" t="str">
        <f>IF(ISERROR(_xlfn.XMATCH(B678,oldlist!B:B,0)),"not found","found")</f>
        <v>found</v>
      </c>
    </row>
    <row r="679" spans="1:3" x14ac:dyDescent="0.5">
      <c r="A679" t="s">
        <v>1051</v>
      </c>
      <c r="B679" t="s">
        <v>2339</v>
      </c>
      <c r="C679" s="4" t="str">
        <f>IF(ISERROR(_xlfn.XMATCH(B679,oldlist!B:B,0)),"not found","found")</f>
        <v>not found</v>
      </c>
    </row>
    <row r="680" spans="1:3" x14ac:dyDescent="0.5">
      <c r="A680" t="s">
        <v>1051</v>
      </c>
      <c r="B680" t="s">
        <v>1747</v>
      </c>
      <c r="C680" s="4" t="str">
        <f>IF(ISERROR(_xlfn.XMATCH(B680,oldlist!B:B,0)),"not found","found")</f>
        <v>found</v>
      </c>
    </row>
    <row r="681" spans="1:3" x14ac:dyDescent="0.5">
      <c r="A681" t="s">
        <v>1051</v>
      </c>
      <c r="B681" t="s">
        <v>1155</v>
      </c>
      <c r="C681" s="4" t="str">
        <f>IF(ISERROR(_xlfn.XMATCH(B681,oldlist!B:B,0)),"not found","found")</f>
        <v>found</v>
      </c>
    </row>
    <row r="682" spans="1:3" x14ac:dyDescent="0.5">
      <c r="A682" t="s">
        <v>1051</v>
      </c>
      <c r="B682" t="s">
        <v>2781</v>
      </c>
      <c r="C682" s="4" t="str">
        <f>IF(ISERROR(_xlfn.XMATCH(B682,oldlist!B:B,0)),"not found","found")</f>
        <v>not found</v>
      </c>
    </row>
    <row r="683" spans="1:3" x14ac:dyDescent="0.5">
      <c r="A683" t="s">
        <v>1051</v>
      </c>
      <c r="B683" t="s">
        <v>1337</v>
      </c>
      <c r="C683" s="4" t="str">
        <f>IF(ISERROR(_xlfn.XMATCH(B683,oldlist!B:B,0)),"not found","found")</f>
        <v>found</v>
      </c>
    </row>
    <row r="684" spans="1:3" x14ac:dyDescent="0.5">
      <c r="A684" t="s">
        <v>1051</v>
      </c>
      <c r="B684" t="s">
        <v>1445</v>
      </c>
      <c r="C684" s="4" t="str">
        <f>IF(ISERROR(_xlfn.XMATCH(B684,oldlist!B:B,0)),"not found","found")</f>
        <v>found</v>
      </c>
    </row>
    <row r="685" spans="1:3" x14ac:dyDescent="0.5">
      <c r="A685" t="s">
        <v>1051</v>
      </c>
      <c r="B685" t="s">
        <v>1255</v>
      </c>
      <c r="C685" s="4" t="str">
        <f>IF(ISERROR(_xlfn.XMATCH(B685,oldlist!B:B,0)),"not found","found")</f>
        <v>found</v>
      </c>
    </row>
    <row r="686" spans="1:3" x14ac:dyDescent="0.5">
      <c r="A686" t="s">
        <v>1051</v>
      </c>
      <c r="B686" t="s">
        <v>1769</v>
      </c>
      <c r="C686" s="4" t="str">
        <f>IF(ISERROR(_xlfn.XMATCH(B686,oldlist!B:B,0)),"not found","found")</f>
        <v>found</v>
      </c>
    </row>
    <row r="687" spans="1:3" x14ac:dyDescent="0.5">
      <c r="A687" t="s">
        <v>1051</v>
      </c>
      <c r="B687" t="s">
        <v>1611</v>
      </c>
      <c r="C687" s="4" t="str">
        <f>IF(ISERROR(_xlfn.XMATCH(B687,oldlist!B:B,0)),"not found","found")</f>
        <v>found</v>
      </c>
    </row>
    <row r="688" spans="1:3" x14ac:dyDescent="0.5">
      <c r="A688" t="s">
        <v>1051</v>
      </c>
      <c r="B688" t="s">
        <v>1113</v>
      </c>
      <c r="C688" s="4" t="str">
        <f>IF(ISERROR(_xlfn.XMATCH(B688,oldlist!B:B,0)),"not found","found")</f>
        <v>found</v>
      </c>
    </row>
    <row r="689" spans="1:3" x14ac:dyDescent="0.5">
      <c r="A689" t="s">
        <v>1051</v>
      </c>
      <c r="B689" t="s">
        <v>1799</v>
      </c>
      <c r="C689" s="4" t="str">
        <f>IF(ISERROR(_xlfn.XMATCH(B689,oldlist!B:B,0)),"not found","found")</f>
        <v>found</v>
      </c>
    </row>
    <row r="690" spans="1:3" x14ac:dyDescent="0.5">
      <c r="A690" t="s">
        <v>1051</v>
      </c>
      <c r="B690" t="s">
        <v>1553</v>
      </c>
      <c r="C690" s="4" t="str">
        <f>IF(ISERROR(_xlfn.XMATCH(B690,oldlist!B:B,0)),"not found","found")</f>
        <v>found</v>
      </c>
    </row>
    <row r="691" spans="1:3" x14ac:dyDescent="0.5">
      <c r="A691" t="s">
        <v>1051</v>
      </c>
      <c r="B691" t="s">
        <v>1237</v>
      </c>
      <c r="C691" s="4" t="str">
        <f>IF(ISERROR(_xlfn.XMATCH(B691,oldlist!B:B,0)),"not found","found")</f>
        <v>found</v>
      </c>
    </row>
    <row r="692" spans="1:3" x14ac:dyDescent="0.5">
      <c r="A692" t="s">
        <v>1051</v>
      </c>
      <c r="B692" t="s">
        <v>1999</v>
      </c>
      <c r="C692" s="4" t="str">
        <f>IF(ISERROR(_xlfn.XMATCH(B692,oldlist!B:B,0)),"not found","found")</f>
        <v>found</v>
      </c>
    </row>
    <row r="693" spans="1:3" x14ac:dyDescent="0.5">
      <c r="A693" t="s">
        <v>1051</v>
      </c>
      <c r="B693" t="s">
        <v>1429</v>
      </c>
      <c r="C693" s="4" t="str">
        <f>IF(ISERROR(_xlfn.XMATCH(B693,oldlist!B:B,0)),"not found","found")</f>
        <v>found</v>
      </c>
    </row>
    <row r="694" spans="1:3" x14ac:dyDescent="0.5">
      <c r="A694" t="s">
        <v>1051</v>
      </c>
      <c r="B694" t="s">
        <v>2001</v>
      </c>
      <c r="C694" s="4" t="str">
        <f>IF(ISERROR(_xlfn.XMATCH(B694,oldlist!B:B,0)),"not found","found")</f>
        <v>found</v>
      </c>
    </row>
    <row r="695" spans="1:3" x14ac:dyDescent="0.5">
      <c r="A695" t="s">
        <v>1051</v>
      </c>
      <c r="B695" t="s">
        <v>1969</v>
      </c>
      <c r="C695" s="4" t="str">
        <f>IF(ISERROR(_xlfn.XMATCH(B695,oldlist!B:B,0)),"not found","found")</f>
        <v>found</v>
      </c>
    </row>
    <row r="696" spans="1:3" x14ac:dyDescent="0.5">
      <c r="A696" t="s">
        <v>1051</v>
      </c>
      <c r="B696" t="s">
        <v>1649</v>
      </c>
      <c r="C696" s="4" t="str">
        <f>IF(ISERROR(_xlfn.XMATCH(B696,oldlist!B:B,0)),"not found","found")</f>
        <v>found</v>
      </c>
    </row>
    <row r="697" spans="1:3" x14ac:dyDescent="0.5">
      <c r="A697" t="s">
        <v>1051</v>
      </c>
      <c r="B697" t="s">
        <v>1983</v>
      </c>
      <c r="C697" s="4" t="str">
        <f>IF(ISERROR(_xlfn.XMATCH(B697,oldlist!B:B,0)),"not found","found")</f>
        <v>found</v>
      </c>
    </row>
    <row r="698" spans="1:3" x14ac:dyDescent="0.5">
      <c r="A698" t="s">
        <v>1051</v>
      </c>
      <c r="B698" t="s">
        <v>2007</v>
      </c>
      <c r="C698" s="4" t="str">
        <f>IF(ISERROR(_xlfn.XMATCH(B698,oldlist!B:B,0)),"not found","found")</f>
        <v>found</v>
      </c>
    </row>
    <row r="699" spans="1:3" x14ac:dyDescent="0.5">
      <c r="A699" t="s">
        <v>1051</v>
      </c>
      <c r="B699" t="s">
        <v>2009</v>
      </c>
      <c r="C699" s="4" t="str">
        <f>IF(ISERROR(_xlfn.XMATCH(B699,oldlist!B:B,0)),"not found","found")</f>
        <v>found</v>
      </c>
    </row>
    <row r="700" spans="1:3" x14ac:dyDescent="0.5">
      <c r="A700" t="s">
        <v>1051</v>
      </c>
      <c r="B700" t="s">
        <v>1639</v>
      </c>
      <c r="C700" s="4" t="str">
        <f>IF(ISERROR(_xlfn.XMATCH(B700,oldlist!B:B,0)),"not found","found")</f>
        <v>found</v>
      </c>
    </row>
    <row r="701" spans="1:3" x14ac:dyDescent="0.5">
      <c r="A701" t="s">
        <v>1051</v>
      </c>
      <c r="B701" t="s">
        <v>1577</v>
      </c>
      <c r="C701" s="4" t="str">
        <f>IF(ISERROR(_xlfn.XMATCH(B701,oldlist!B:B,0)),"not found","found")</f>
        <v>found</v>
      </c>
    </row>
    <row r="702" spans="1:3" x14ac:dyDescent="0.5">
      <c r="A702" t="s">
        <v>1051</v>
      </c>
      <c r="B702" t="s">
        <v>1519</v>
      </c>
      <c r="C702" s="4" t="str">
        <f>IF(ISERROR(_xlfn.XMATCH(B702,oldlist!B:B,0)),"not found","found")</f>
        <v>found</v>
      </c>
    </row>
    <row r="703" spans="1:3" x14ac:dyDescent="0.5">
      <c r="A703" t="s">
        <v>1051</v>
      </c>
      <c r="B703" t="s">
        <v>1151</v>
      </c>
      <c r="C703" s="4" t="str">
        <f>IF(ISERROR(_xlfn.XMATCH(B703,oldlist!B:B,0)),"not found","found")</f>
        <v>found</v>
      </c>
    </row>
    <row r="704" spans="1:3" x14ac:dyDescent="0.5">
      <c r="A704" t="s">
        <v>1051</v>
      </c>
      <c r="B704" t="s">
        <v>1481</v>
      </c>
      <c r="C704" s="4" t="str">
        <f>IF(ISERROR(_xlfn.XMATCH(B704,oldlist!B:B,0)),"not found","found")</f>
        <v>found</v>
      </c>
    </row>
    <row r="705" spans="1:3" x14ac:dyDescent="0.5">
      <c r="A705" t="s">
        <v>1051</v>
      </c>
      <c r="B705" t="s">
        <v>1667</v>
      </c>
      <c r="C705" s="4" t="str">
        <f>IF(ISERROR(_xlfn.XMATCH(B705,oldlist!B:B,0)),"not found","found")</f>
        <v>found</v>
      </c>
    </row>
    <row r="706" spans="1:3" x14ac:dyDescent="0.5">
      <c r="A706" t="s">
        <v>1051</v>
      </c>
      <c r="B706" t="s">
        <v>2113</v>
      </c>
      <c r="C706" s="4" t="str">
        <f>IF(ISERROR(_xlfn.XMATCH(B706,oldlist!B:B,0)),"not found","found")</f>
        <v>found</v>
      </c>
    </row>
    <row r="707" spans="1:3" x14ac:dyDescent="0.5">
      <c r="A707" t="s">
        <v>1051</v>
      </c>
      <c r="B707" t="s">
        <v>1167</v>
      </c>
      <c r="C707" s="4" t="str">
        <f>IF(ISERROR(_xlfn.XMATCH(B707,oldlist!B:B,0)),"not found","found")</f>
        <v>found</v>
      </c>
    </row>
    <row r="708" spans="1:3" x14ac:dyDescent="0.5">
      <c r="A708" t="s">
        <v>1051</v>
      </c>
      <c r="B708" t="s">
        <v>1617</v>
      </c>
      <c r="C708" s="4" t="str">
        <f>IF(ISERROR(_xlfn.XMATCH(B708,oldlist!B:B,0)),"not found","found")</f>
        <v>found</v>
      </c>
    </row>
    <row r="709" spans="1:3" x14ac:dyDescent="0.5">
      <c r="A709" t="s">
        <v>1051</v>
      </c>
      <c r="B709" t="s">
        <v>1929</v>
      </c>
      <c r="C709" s="4" t="str">
        <f>IF(ISERROR(_xlfn.XMATCH(B709,oldlist!B:B,0)),"not found","found")</f>
        <v>found</v>
      </c>
    </row>
    <row r="710" spans="1:3" x14ac:dyDescent="0.5">
      <c r="A710" t="s">
        <v>1051</v>
      </c>
      <c r="B710" t="s">
        <v>1291</v>
      </c>
      <c r="C710" s="4" t="str">
        <f>IF(ISERROR(_xlfn.XMATCH(B710,oldlist!B:B,0)),"not found","found")</f>
        <v>found</v>
      </c>
    </row>
    <row r="711" spans="1:3" x14ac:dyDescent="0.5">
      <c r="A711" t="s">
        <v>1051</v>
      </c>
      <c r="B711" t="s">
        <v>2381</v>
      </c>
      <c r="C711" s="4" t="str">
        <f>IF(ISERROR(_xlfn.XMATCH(B711,oldlist!B:B,0)),"not found","found")</f>
        <v>not found</v>
      </c>
    </row>
    <row r="712" spans="1:3" x14ac:dyDescent="0.5">
      <c r="A712" t="s">
        <v>1051</v>
      </c>
      <c r="B712" t="s">
        <v>2267</v>
      </c>
      <c r="C712" s="4" t="str">
        <f>IF(ISERROR(_xlfn.XMATCH(B712,oldlist!B:B,0)),"not found","found")</f>
        <v>found</v>
      </c>
    </row>
    <row r="713" spans="1:3" x14ac:dyDescent="0.5">
      <c r="A713" t="s">
        <v>1051</v>
      </c>
      <c r="B713" t="s">
        <v>2437</v>
      </c>
      <c r="C713" s="4" t="str">
        <f>IF(ISERROR(_xlfn.XMATCH(B713,oldlist!B:B,0)),"not found","found")</f>
        <v>not found</v>
      </c>
    </row>
    <row r="714" spans="1:3" x14ac:dyDescent="0.5">
      <c r="A714" t="s">
        <v>1051</v>
      </c>
      <c r="B714" t="s">
        <v>1261</v>
      </c>
      <c r="C714" s="4" t="str">
        <f>IF(ISERROR(_xlfn.XMATCH(B714,oldlist!B:B,0)),"not found","found")</f>
        <v>found</v>
      </c>
    </row>
    <row r="715" spans="1:3" x14ac:dyDescent="0.5">
      <c r="A715" t="s">
        <v>1051</v>
      </c>
      <c r="B715" t="s">
        <v>1607</v>
      </c>
      <c r="C715" s="4" t="str">
        <f>IF(ISERROR(_xlfn.XMATCH(B715,oldlist!B:B,0)),"not found","found")</f>
        <v>found</v>
      </c>
    </row>
    <row r="716" spans="1:3" x14ac:dyDescent="0.5">
      <c r="A716" t="s">
        <v>1051</v>
      </c>
      <c r="B716" t="s">
        <v>1341</v>
      </c>
      <c r="C716" s="4" t="str">
        <f>IF(ISERROR(_xlfn.XMATCH(B716,oldlist!B:B,0)),"not found","found")</f>
        <v>found</v>
      </c>
    </row>
    <row r="717" spans="1:3" x14ac:dyDescent="0.5">
      <c r="A717" t="s">
        <v>1051</v>
      </c>
      <c r="B717" t="s">
        <v>2675</v>
      </c>
      <c r="C717" s="4" t="str">
        <f>IF(ISERROR(_xlfn.XMATCH(B717,oldlist!B:B,0)),"not found","found")</f>
        <v>not found</v>
      </c>
    </row>
    <row r="718" spans="1:3" x14ac:dyDescent="0.5">
      <c r="A718" t="s">
        <v>1051</v>
      </c>
      <c r="B718" t="s">
        <v>1085</v>
      </c>
      <c r="C718" s="4" t="str">
        <f>IF(ISERROR(_xlfn.XMATCH(B718,oldlist!B:B,0)),"not found","found")</f>
        <v>found</v>
      </c>
    </row>
    <row r="719" spans="1:3" x14ac:dyDescent="0.5">
      <c r="A719" t="s">
        <v>1051</v>
      </c>
      <c r="B719" t="s">
        <v>2683</v>
      </c>
      <c r="C719" s="4" t="str">
        <f>IF(ISERROR(_xlfn.XMATCH(B719,oldlist!B:B,0)),"not found","found")</f>
        <v>not found</v>
      </c>
    </row>
    <row r="720" spans="1:3" x14ac:dyDescent="0.5">
      <c r="A720" t="s">
        <v>1051</v>
      </c>
      <c r="B720" t="s">
        <v>1417</v>
      </c>
      <c r="C720" s="4" t="str">
        <f>IF(ISERROR(_xlfn.XMATCH(B720,oldlist!B:B,0)),"not found","found")</f>
        <v>found</v>
      </c>
    </row>
    <row r="721" spans="1:3" x14ac:dyDescent="0.5">
      <c r="A721" t="s">
        <v>1051</v>
      </c>
      <c r="B721" t="s">
        <v>1635</v>
      </c>
      <c r="C721" s="4" t="str">
        <f>IF(ISERROR(_xlfn.XMATCH(B721,oldlist!B:B,0)),"not found","found")</f>
        <v>found</v>
      </c>
    </row>
    <row r="722" spans="1:3" x14ac:dyDescent="0.5">
      <c r="A722" t="s">
        <v>1051</v>
      </c>
      <c r="B722" t="s">
        <v>2403</v>
      </c>
      <c r="C722" s="4" t="str">
        <f>IF(ISERROR(_xlfn.XMATCH(B722,oldlist!B:B,0)),"not found","found")</f>
        <v>not found</v>
      </c>
    </row>
    <row r="723" spans="1:3" x14ac:dyDescent="0.5">
      <c r="A723" t="s">
        <v>1051</v>
      </c>
      <c r="B723" t="s">
        <v>1981</v>
      </c>
      <c r="C723" s="4" t="str">
        <f>IF(ISERROR(_xlfn.XMATCH(B723,oldlist!B:B,0)),"not found","found")</f>
        <v>found</v>
      </c>
    </row>
    <row r="724" spans="1:3" x14ac:dyDescent="0.5">
      <c r="A724" t="s">
        <v>1051</v>
      </c>
      <c r="B724" t="s">
        <v>1505</v>
      </c>
      <c r="C724" s="4" t="str">
        <f>IF(ISERROR(_xlfn.XMATCH(B724,oldlist!B:B,0)),"not found","found")</f>
        <v>found</v>
      </c>
    </row>
    <row r="725" spans="1:3" x14ac:dyDescent="0.5">
      <c r="A725" t="s">
        <v>1051</v>
      </c>
      <c r="B725" t="s">
        <v>1613</v>
      </c>
      <c r="C725" s="4" t="str">
        <f>IF(ISERROR(_xlfn.XMATCH(B725,oldlist!B:B,0)),"not found","found")</f>
        <v>found</v>
      </c>
    </row>
    <row r="726" spans="1:3" x14ac:dyDescent="0.5">
      <c r="A726" t="s">
        <v>1051</v>
      </c>
      <c r="B726" t="s">
        <v>1793</v>
      </c>
      <c r="C726" s="4" t="str">
        <f>IF(ISERROR(_xlfn.XMATCH(B726,oldlist!B:B,0)),"not found","found")</f>
        <v>found</v>
      </c>
    </row>
    <row r="727" spans="1:3" x14ac:dyDescent="0.5">
      <c r="A727" t="s">
        <v>1051</v>
      </c>
      <c r="B727" t="s">
        <v>2753</v>
      </c>
      <c r="C727" s="4" t="str">
        <f>IF(ISERROR(_xlfn.XMATCH(B727,oldlist!B:B,0)),"not found","found")</f>
        <v>not found</v>
      </c>
    </row>
    <row r="728" spans="1:3" x14ac:dyDescent="0.5">
      <c r="A728" t="s">
        <v>1051</v>
      </c>
      <c r="B728" t="s">
        <v>2473</v>
      </c>
      <c r="C728" s="4" t="str">
        <f>IF(ISERROR(_xlfn.XMATCH(B728,oldlist!B:B,0)),"not found","found")</f>
        <v>not found</v>
      </c>
    </row>
    <row r="729" spans="1:3" x14ac:dyDescent="0.5">
      <c r="A729" t="s">
        <v>1051</v>
      </c>
      <c r="B729" t="s">
        <v>2421</v>
      </c>
      <c r="C729" s="4" t="str">
        <f>IF(ISERROR(_xlfn.XMATCH(B729,oldlist!B:B,0)),"not found","found")</f>
        <v>not found</v>
      </c>
    </row>
    <row r="730" spans="1:3" x14ac:dyDescent="0.5">
      <c r="A730" t="s">
        <v>1051</v>
      </c>
      <c r="B730" t="s">
        <v>1437</v>
      </c>
      <c r="C730" s="4" t="str">
        <f>IF(ISERROR(_xlfn.XMATCH(B730,oldlist!B:B,0)),"not found","found")</f>
        <v>found</v>
      </c>
    </row>
    <row r="731" spans="1:3" x14ac:dyDescent="0.5">
      <c r="A731" t="s">
        <v>1051</v>
      </c>
      <c r="B731" t="s">
        <v>2207</v>
      </c>
      <c r="C731" s="4" t="str">
        <f>IF(ISERROR(_xlfn.XMATCH(B731,oldlist!B:B,0)),"not found","found")</f>
        <v>not found</v>
      </c>
    </row>
    <row r="732" spans="1:3" x14ac:dyDescent="0.5">
      <c r="A732" t="s">
        <v>1051</v>
      </c>
      <c r="B732" t="s">
        <v>2199</v>
      </c>
      <c r="C732" s="4" t="str">
        <f>IF(ISERROR(_xlfn.XMATCH(B732,oldlist!B:B,0)),"not found","found")</f>
        <v>not found</v>
      </c>
    </row>
    <row r="733" spans="1:3" x14ac:dyDescent="0.5">
      <c r="A733" t="s">
        <v>1051</v>
      </c>
      <c r="B733" t="s">
        <v>2435</v>
      </c>
      <c r="C733" s="4" t="str">
        <f>IF(ISERROR(_xlfn.XMATCH(B733,oldlist!B:B,0)),"not found","found")</f>
        <v>not found</v>
      </c>
    </row>
    <row r="734" spans="1:3" x14ac:dyDescent="0.5">
      <c r="A734" t="s">
        <v>1051</v>
      </c>
      <c r="B734" t="s">
        <v>2511</v>
      </c>
      <c r="C734" s="4" t="str">
        <f>IF(ISERROR(_xlfn.XMATCH(B734,oldlist!B:B,0)),"not found","found")</f>
        <v>not found</v>
      </c>
    </row>
    <row r="735" spans="1:3" x14ac:dyDescent="0.5">
      <c r="A735" t="s">
        <v>1051</v>
      </c>
      <c r="B735" t="s">
        <v>1749</v>
      </c>
      <c r="C735" s="4" t="str">
        <f>IF(ISERROR(_xlfn.XMATCH(B735,oldlist!B:B,0)),"not found","found")</f>
        <v>found</v>
      </c>
    </row>
    <row r="736" spans="1:3" x14ac:dyDescent="0.5">
      <c r="A736" t="s">
        <v>1051</v>
      </c>
      <c r="B736" t="s">
        <v>1389</v>
      </c>
      <c r="C736" s="4" t="str">
        <f>IF(ISERROR(_xlfn.XMATCH(B736,oldlist!B:B,0)),"not found","found")</f>
        <v>found</v>
      </c>
    </row>
    <row r="737" spans="1:3" x14ac:dyDescent="0.5">
      <c r="A737" t="s">
        <v>1051</v>
      </c>
      <c r="B737" t="s">
        <v>1527</v>
      </c>
      <c r="C737" s="4" t="str">
        <f>IF(ISERROR(_xlfn.XMATCH(B737,oldlist!B:B,0)),"not found","found")</f>
        <v>found</v>
      </c>
    </row>
    <row r="738" spans="1:3" x14ac:dyDescent="0.5">
      <c r="A738" t="s">
        <v>1051</v>
      </c>
      <c r="B738" t="s">
        <v>1175</v>
      </c>
      <c r="C738" s="4" t="str">
        <f>IF(ISERROR(_xlfn.XMATCH(B738,oldlist!B:B,0)),"not found","found")</f>
        <v>found</v>
      </c>
    </row>
    <row r="739" spans="1:3" x14ac:dyDescent="0.5">
      <c r="A739" t="s">
        <v>1051</v>
      </c>
      <c r="B739" t="s">
        <v>2201</v>
      </c>
      <c r="C739" s="4" t="str">
        <f>IF(ISERROR(_xlfn.XMATCH(B739,oldlist!B:B,0)),"not found","found")</f>
        <v>not found</v>
      </c>
    </row>
    <row r="740" spans="1:3" x14ac:dyDescent="0.5">
      <c r="A740" t="s">
        <v>1051</v>
      </c>
      <c r="B740" t="s">
        <v>1225</v>
      </c>
      <c r="C740" s="4" t="str">
        <f>IF(ISERROR(_xlfn.XMATCH(B740,oldlist!B:B,0)),"not found","found")</f>
        <v>found</v>
      </c>
    </row>
    <row r="741" spans="1:3" x14ac:dyDescent="0.5">
      <c r="A741" t="s">
        <v>1051</v>
      </c>
      <c r="B741" t="s">
        <v>2291</v>
      </c>
      <c r="C741" s="4" t="str">
        <f>IF(ISERROR(_xlfn.XMATCH(B741,oldlist!B:B,0)),"not found","found")</f>
        <v>found</v>
      </c>
    </row>
    <row r="742" spans="1:3" x14ac:dyDescent="0.5">
      <c r="A742" t="s">
        <v>1051</v>
      </c>
      <c r="B742" t="s">
        <v>2673</v>
      </c>
      <c r="C742" s="4" t="str">
        <f>IF(ISERROR(_xlfn.XMATCH(B742,oldlist!B:B,0)),"not found","found")</f>
        <v>not found</v>
      </c>
    </row>
    <row r="743" spans="1:3" x14ac:dyDescent="0.5">
      <c r="A743" t="s">
        <v>1051</v>
      </c>
      <c r="B743" t="s">
        <v>1257</v>
      </c>
      <c r="C743" s="4" t="str">
        <f>IF(ISERROR(_xlfn.XMATCH(B743,oldlist!B:B,0)),"not found","found")</f>
        <v>found</v>
      </c>
    </row>
    <row r="744" spans="1:3" x14ac:dyDescent="0.5">
      <c r="A744" t="s">
        <v>1051</v>
      </c>
      <c r="B744" t="s">
        <v>2669</v>
      </c>
      <c r="C744" s="4" t="str">
        <f>IF(ISERROR(_xlfn.XMATCH(B744,oldlist!B:B,0)),"not found","found")</f>
        <v>not found</v>
      </c>
    </row>
    <row r="745" spans="1:3" x14ac:dyDescent="0.5">
      <c r="A745" t="s">
        <v>1051</v>
      </c>
      <c r="B745" t="s">
        <v>2625</v>
      </c>
      <c r="C745" s="4" t="str">
        <f>IF(ISERROR(_xlfn.XMATCH(B745,oldlist!B:B,0)),"not found","found")</f>
        <v>not found</v>
      </c>
    </row>
    <row r="746" spans="1:3" x14ac:dyDescent="0.5">
      <c r="A746" t="s">
        <v>1051</v>
      </c>
      <c r="B746" t="s">
        <v>2615</v>
      </c>
      <c r="C746" s="4" t="str">
        <f>IF(ISERROR(_xlfn.XMATCH(B746,oldlist!B:B,0)),"not found","found")</f>
        <v>not found</v>
      </c>
    </row>
    <row r="747" spans="1:3" x14ac:dyDescent="0.5">
      <c r="A747" t="s">
        <v>1051</v>
      </c>
      <c r="B747" t="s">
        <v>1685</v>
      </c>
      <c r="C747" s="4" t="str">
        <f>IF(ISERROR(_xlfn.XMATCH(B747,oldlist!B:B,0)),"not found","found")</f>
        <v>found</v>
      </c>
    </row>
    <row r="748" spans="1:3" x14ac:dyDescent="0.5">
      <c r="A748" t="s">
        <v>1051</v>
      </c>
      <c r="B748" t="s">
        <v>1661</v>
      </c>
      <c r="C748" s="4" t="str">
        <f>IF(ISERROR(_xlfn.XMATCH(B748,oldlist!B:B,0)),"not found","found")</f>
        <v>found</v>
      </c>
    </row>
    <row r="749" spans="1:3" x14ac:dyDescent="0.5">
      <c r="A749" t="s">
        <v>1051</v>
      </c>
      <c r="B749" t="s">
        <v>1539</v>
      </c>
      <c r="C749" s="4" t="str">
        <f>IF(ISERROR(_xlfn.XMATCH(B749,oldlist!B:B,0)),"not found","found")</f>
        <v>found</v>
      </c>
    </row>
    <row r="750" spans="1:3" x14ac:dyDescent="0.5">
      <c r="A750" t="s">
        <v>1051</v>
      </c>
      <c r="B750" t="s">
        <v>1963</v>
      </c>
      <c r="C750" s="4" t="str">
        <f>IF(ISERROR(_xlfn.XMATCH(B750,oldlist!B:B,0)),"not found","found")</f>
        <v>found</v>
      </c>
    </row>
    <row r="751" spans="1:3" x14ac:dyDescent="0.5">
      <c r="A751" t="s">
        <v>1051</v>
      </c>
      <c r="B751" t="s">
        <v>2425</v>
      </c>
      <c r="C751" s="4" t="str">
        <f>IF(ISERROR(_xlfn.XMATCH(B751,oldlist!B:B,0)),"not found","found")</f>
        <v>not found</v>
      </c>
    </row>
    <row r="752" spans="1:3" x14ac:dyDescent="0.5">
      <c r="A752" t="s">
        <v>1051</v>
      </c>
      <c r="B752" t="s">
        <v>2561</v>
      </c>
      <c r="C752" s="4" t="str">
        <f>IF(ISERROR(_xlfn.XMATCH(B752,oldlist!B:B,0)),"not found","found")</f>
        <v>not found</v>
      </c>
    </row>
    <row r="753" spans="1:3" x14ac:dyDescent="0.5">
      <c r="A753" t="s">
        <v>1051</v>
      </c>
      <c r="B753" t="s">
        <v>2697</v>
      </c>
      <c r="C753" s="4" t="str">
        <f>IF(ISERROR(_xlfn.XMATCH(B753,oldlist!B:B,0)),"not found","found")</f>
        <v>found</v>
      </c>
    </row>
    <row r="754" spans="1:3" x14ac:dyDescent="0.5">
      <c r="A754" t="s">
        <v>1051</v>
      </c>
      <c r="B754" t="s">
        <v>1927</v>
      </c>
      <c r="C754" s="4" t="str">
        <f>IF(ISERROR(_xlfn.XMATCH(B754,oldlist!B:B,0)),"not found","found")</f>
        <v>found</v>
      </c>
    </row>
    <row r="755" spans="1:3" x14ac:dyDescent="0.5">
      <c r="A755" t="s">
        <v>1051</v>
      </c>
      <c r="B755" t="s">
        <v>1077</v>
      </c>
      <c r="C755" s="4" t="str">
        <f>IF(ISERROR(_xlfn.XMATCH(B755,oldlist!B:B,0)),"not found","found")</f>
        <v>found</v>
      </c>
    </row>
    <row r="756" spans="1:3" x14ac:dyDescent="0.5">
      <c r="A756" t="s">
        <v>1051</v>
      </c>
      <c r="B756" t="s">
        <v>2023</v>
      </c>
      <c r="C756" s="4" t="str">
        <f>IF(ISERROR(_xlfn.XMATCH(B756,oldlist!B:B,0)),"not found","found")</f>
        <v>found</v>
      </c>
    </row>
    <row r="757" spans="1:3" x14ac:dyDescent="0.5">
      <c r="A757" t="s">
        <v>1051</v>
      </c>
      <c r="B757" t="s">
        <v>2601</v>
      </c>
      <c r="C757" s="4" t="str">
        <f>IF(ISERROR(_xlfn.XMATCH(B757,oldlist!B:B,0)),"not found","found")</f>
        <v>found</v>
      </c>
    </row>
    <row r="758" spans="1:3" x14ac:dyDescent="0.5">
      <c r="A758" t="s">
        <v>1051</v>
      </c>
      <c r="B758" t="s">
        <v>2129</v>
      </c>
      <c r="C758" s="4" t="str">
        <f>IF(ISERROR(_xlfn.XMATCH(B758,oldlist!B:B,0)),"not found","found")</f>
        <v>not found</v>
      </c>
    </row>
    <row r="759" spans="1:3" x14ac:dyDescent="0.5">
      <c r="A759" t="s">
        <v>1051</v>
      </c>
      <c r="B759" t="s">
        <v>1751</v>
      </c>
      <c r="C759" s="4" t="str">
        <f>IF(ISERROR(_xlfn.XMATCH(B759,oldlist!B:B,0)),"not found","found")</f>
        <v>found</v>
      </c>
    </row>
    <row r="760" spans="1:3" x14ac:dyDescent="0.5">
      <c r="A760" t="s">
        <v>1051</v>
      </c>
      <c r="B760" t="s">
        <v>1721</v>
      </c>
      <c r="C760" s="4" t="str">
        <f>IF(ISERROR(_xlfn.XMATCH(B760,oldlist!B:B,0)),"not found","found")</f>
        <v>found</v>
      </c>
    </row>
    <row r="761" spans="1:3" x14ac:dyDescent="0.5">
      <c r="A761" t="s">
        <v>1051</v>
      </c>
      <c r="B761" t="s">
        <v>1925</v>
      </c>
      <c r="C761" s="4" t="str">
        <f>IF(ISERROR(_xlfn.XMATCH(B761,oldlist!B:B,0)),"not found","found")</f>
        <v>found</v>
      </c>
    </row>
    <row r="762" spans="1:3" x14ac:dyDescent="0.5">
      <c r="A762" t="s">
        <v>1051</v>
      </c>
      <c r="B762" t="s">
        <v>2467</v>
      </c>
      <c r="C762" s="4" t="str">
        <f>IF(ISERROR(_xlfn.XMATCH(B762,oldlist!B:B,0)),"not found","found")</f>
        <v>not found</v>
      </c>
    </row>
    <row r="763" spans="1:3" x14ac:dyDescent="0.5">
      <c r="A763" t="s">
        <v>1051</v>
      </c>
      <c r="B763" t="s">
        <v>1585</v>
      </c>
      <c r="C763" s="4" t="str">
        <f>IF(ISERROR(_xlfn.XMATCH(B763,oldlist!B:B,0)),"not found","found")</f>
        <v>found</v>
      </c>
    </row>
    <row r="764" spans="1:3" x14ac:dyDescent="0.5">
      <c r="A764" t="s">
        <v>1051</v>
      </c>
      <c r="B764" t="s">
        <v>1273</v>
      </c>
      <c r="C764" s="4" t="str">
        <f>IF(ISERROR(_xlfn.XMATCH(B764,oldlist!B:B,0)),"not found","found")</f>
        <v>found</v>
      </c>
    </row>
    <row r="765" spans="1:3" x14ac:dyDescent="0.5">
      <c r="A765" t="s">
        <v>1051</v>
      </c>
      <c r="B765" t="s">
        <v>1497</v>
      </c>
      <c r="C765" s="4" t="str">
        <f>IF(ISERROR(_xlfn.XMATCH(B765,oldlist!B:B,0)),"not found","found")</f>
        <v>found</v>
      </c>
    </row>
    <row r="766" spans="1:3" x14ac:dyDescent="0.5">
      <c r="A766" t="s">
        <v>1051</v>
      </c>
      <c r="B766" t="s">
        <v>2419</v>
      </c>
      <c r="C766" s="4" t="str">
        <f>IF(ISERROR(_xlfn.XMATCH(B766,oldlist!B:B,0)),"not found","found")</f>
        <v>not found</v>
      </c>
    </row>
    <row r="767" spans="1:3" x14ac:dyDescent="0.5">
      <c r="A767" t="s">
        <v>1051</v>
      </c>
      <c r="B767" t="s">
        <v>1365</v>
      </c>
      <c r="C767" s="4" t="str">
        <f>IF(ISERROR(_xlfn.XMATCH(B767,oldlist!B:B,0)),"not found","found")</f>
        <v>found</v>
      </c>
    </row>
    <row r="768" spans="1:3" x14ac:dyDescent="0.5">
      <c r="A768" t="s">
        <v>1051</v>
      </c>
      <c r="B768" t="s">
        <v>2475</v>
      </c>
      <c r="C768" s="4" t="str">
        <f>IF(ISERROR(_xlfn.XMATCH(B768,oldlist!B:B,0)),"not found","found")</f>
        <v>not found</v>
      </c>
    </row>
    <row r="769" spans="1:3" x14ac:dyDescent="0.5">
      <c r="A769" t="s">
        <v>1051</v>
      </c>
      <c r="B769" t="s">
        <v>1159</v>
      </c>
      <c r="C769" s="4" t="str">
        <f>IF(ISERROR(_xlfn.XMATCH(B769,oldlist!B:B,0)),"not found","found")</f>
        <v>found</v>
      </c>
    </row>
    <row r="770" spans="1:3" x14ac:dyDescent="0.5">
      <c r="A770" t="s">
        <v>1051</v>
      </c>
      <c r="B770" t="s">
        <v>1071</v>
      </c>
      <c r="C770" s="4" t="str">
        <f>IF(ISERROR(_xlfn.XMATCH(B770,oldlist!B:B,0)),"not found","found")</f>
        <v>found</v>
      </c>
    </row>
    <row r="771" spans="1:3" x14ac:dyDescent="0.5">
      <c r="A771" t="s">
        <v>1051</v>
      </c>
      <c r="B771" t="s">
        <v>1073</v>
      </c>
      <c r="C771" s="4" t="str">
        <f>IF(ISERROR(_xlfn.XMATCH(B771,oldlist!B:B,0)),"not found","found")</f>
        <v>found</v>
      </c>
    </row>
    <row r="772" spans="1:3" x14ac:dyDescent="0.5">
      <c r="A772" t="s">
        <v>1051</v>
      </c>
      <c r="B772" t="s">
        <v>1243</v>
      </c>
      <c r="C772" s="4" t="str">
        <f>IF(ISERROR(_xlfn.XMATCH(B772,oldlist!B:B,0)),"not found","found")</f>
        <v>found</v>
      </c>
    </row>
    <row r="773" spans="1:3" x14ac:dyDescent="0.5">
      <c r="A773" t="s">
        <v>1051</v>
      </c>
      <c r="B773" t="s">
        <v>1631</v>
      </c>
      <c r="C773" s="4" t="str">
        <f>IF(ISERROR(_xlfn.XMATCH(B773,oldlist!B:B,0)),"not found","found")</f>
        <v>found</v>
      </c>
    </row>
    <row r="774" spans="1:3" x14ac:dyDescent="0.5">
      <c r="A774" t="s">
        <v>1051</v>
      </c>
      <c r="B774" t="s">
        <v>2127</v>
      </c>
      <c r="C774" s="4" t="str">
        <f>IF(ISERROR(_xlfn.XMATCH(B774,oldlist!B:B,0)),"not found","found")</f>
        <v>found</v>
      </c>
    </row>
    <row r="775" spans="1:3" x14ac:dyDescent="0.5">
      <c r="A775" t="s">
        <v>1051</v>
      </c>
      <c r="B775" t="s">
        <v>2743</v>
      </c>
      <c r="C775" s="4" t="str">
        <f>IF(ISERROR(_xlfn.XMATCH(B775,oldlist!B:B,0)),"not found","found")</f>
        <v>not found</v>
      </c>
    </row>
    <row r="776" spans="1:3" x14ac:dyDescent="0.5">
      <c r="A776" t="s">
        <v>1051</v>
      </c>
      <c r="B776" t="s">
        <v>1493</v>
      </c>
      <c r="C776" s="4" t="str">
        <f>IF(ISERROR(_xlfn.XMATCH(B776,oldlist!B:B,0)),"not found","found")</f>
        <v>found</v>
      </c>
    </row>
    <row r="777" spans="1:3" x14ac:dyDescent="0.5">
      <c r="A777" t="s">
        <v>1051</v>
      </c>
      <c r="B777" t="s">
        <v>2461</v>
      </c>
      <c r="C777" s="4" t="str">
        <f>IF(ISERROR(_xlfn.XMATCH(B777,oldlist!B:B,0)),"not found","found")</f>
        <v>not found</v>
      </c>
    </row>
    <row r="778" spans="1:3" x14ac:dyDescent="0.5">
      <c r="A778" t="s">
        <v>1051</v>
      </c>
      <c r="B778" t="s">
        <v>1727</v>
      </c>
      <c r="C778" s="4" t="str">
        <f>IF(ISERROR(_xlfn.XMATCH(B778,oldlist!B:B,0)),"not found","found")</f>
        <v>found</v>
      </c>
    </row>
    <row r="779" spans="1:3" x14ac:dyDescent="0.5">
      <c r="A779" t="s">
        <v>1051</v>
      </c>
      <c r="B779" t="s">
        <v>2479</v>
      </c>
      <c r="C779" s="4" t="str">
        <f>IF(ISERROR(_xlfn.XMATCH(B779,oldlist!B:B,0)),"not found","found")</f>
        <v>not found</v>
      </c>
    </row>
    <row r="780" spans="1:3" x14ac:dyDescent="0.5">
      <c r="A780" t="s">
        <v>1051</v>
      </c>
      <c r="B780" t="s">
        <v>1765</v>
      </c>
      <c r="C780" s="4" t="str">
        <f>IF(ISERROR(_xlfn.XMATCH(B780,oldlist!B:B,0)),"not found","found")</f>
        <v>found</v>
      </c>
    </row>
    <row r="781" spans="1:3" x14ac:dyDescent="0.5">
      <c r="A781" t="s">
        <v>1051</v>
      </c>
      <c r="B781" t="s">
        <v>2211</v>
      </c>
      <c r="C781" s="4" t="str">
        <f>IF(ISERROR(_xlfn.XMATCH(B781,oldlist!B:B,0)),"not found","found")</f>
        <v>found</v>
      </c>
    </row>
    <row r="782" spans="1:3" x14ac:dyDescent="0.5">
      <c r="A782" t="s">
        <v>1051</v>
      </c>
      <c r="B782" t="s">
        <v>2401</v>
      </c>
      <c r="C782" s="4" t="str">
        <f>IF(ISERROR(_xlfn.XMATCH(B782,oldlist!B:B,0)),"not found","found")</f>
        <v>not found</v>
      </c>
    </row>
    <row r="783" spans="1:3" x14ac:dyDescent="0.5">
      <c r="A783" t="s">
        <v>1051</v>
      </c>
      <c r="B783" t="s">
        <v>2405</v>
      </c>
      <c r="C783" s="4" t="str">
        <f>IF(ISERROR(_xlfn.XMATCH(B783,oldlist!B:B,0)),"not found","found")</f>
        <v>not found</v>
      </c>
    </row>
    <row r="784" spans="1:3" x14ac:dyDescent="0.5">
      <c r="A784" t="s">
        <v>1051</v>
      </c>
      <c r="B784" t="s">
        <v>2293</v>
      </c>
      <c r="C784" s="4" t="str">
        <f>IF(ISERROR(_xlfn.XMATCH(B784,oldlist!B:B,0)),"not found","found")</f>
        <v>not found</v>
      </c>
    </row>
    <row r="785" spans="1:3" x14ac:dyDescent="0.5">
      <c r="A785" t="s">
        <v>1051</v>
      </c>
      <c r="B785" t="s">
        <v>2223</v>
      </c>
      <c r="C785" s="4" t="str">
        <f>IF(ISERROR(_xlfn.XMATCH(B785,oldlist!B:B,0)),"not found","found")</f>
        <v>not found</v>
      </c>
    </row>
    <row r="786" spans="1:3" x14ac:dyDescent="0.5">
      <c r="A786" t="s">
        <v>1051</v>
      </c>
      <c r="B786" t="s">
        <v>2087</v>
      </c>
      <c r="C786" s="4" t="str">
        <f>IF(ISERROR(_xlfn.XMATCH(B786,oldlist!B:B,0)),"not found","found")</f>
        <v>found</v>
      </c>
    </row>
    <row r="787" spans="1:3" x14ac:dyDescent="0.5">
      <c r="A787" t="s">
        <v>1051</v>
      </c>
      <c r="B787" t="s">
        <v>2733</v>
      </c>
      <c r="C787" s="4" t="str">
        <f>IF(ISERROR(_xlfn.XMATCH(B787,oldlist!B:B,0)),"not found","found")</f>
        <v>found</v>
      </c>
    </row>
    <row r="788" spans="1:3" x14ac:dyDescent="0.5">
      <c r="A788" t="s">
        <v>1051</v>
      </c>
      <c r="B788" t="s">
        <v>2187</v>
      </c>
      <c r="C788" s="4" t="str">
        <f>IF(ISERROR(_xlfn.XMATCH(B788,oldlist!B:B,0)),"not found","found")</f>
        <v>found</v>
      </c>
    </row>
    <row r="789" spans="1:3" x14ac:dyDescent="0.5">
      <c r="A789" t="s">
        <v>1051</v>
      </c>
      <c r="B789" t="s">
        <v>2089</v>
      </c>
      <c r="C789" s="4" t="str">
        <f>IF(ISERROR(_xlfn.XMATCH(B789,oldlist!B:B,0)),"not found","found")</f>
        <v>found</v>
      </c>
    </row>
    <row r="790" spans="1:3" x14ac:dyDescent="0.5">
      <c r="A790" t="s">
        <v>1051</v>
      </c>
      <c r="B790" t="s">
        <v>2729</v>
      </c>
      <c r="C790" s="4" t="str">
        <f>IF(ISERROR(_xlfn.XMATCH(B790,oldlist!B:B,0)),"not found","found")</f>
        <v>found</v>
      </c>
    </row>
    <row r="791" spans="1:3" x14ac:dyDescent="0.5">
      <c r="A791" t="s">
        <v>1051</v>
      </c>
      <c r="B791" t="s">
        <v>2505</v>
      </c>
      <c r="C791" s="4" t="str">
        <f>IF(ISERROR(_xlfn.XMATCH(B791,oldlist!B:B,0)),"not found","found")</f>
        <v>not found</v>
      </c>
    </row>
    <row r="792" spans="1:3" x14ac:dyDescent="0.5">
      <c r="A792" t="s">
        <v>1051</v>
      </c>
      <c r="B792" t="s">
        <v>2493</v>
      </c>
      <c r="C792" s="4" t="str">
        <f>IF(ISERROR(_xlfn.XMATCH(B792,oldlist!B:B,0)),"not found","found")</f>
        <v>not found</v>
      </c>
    </row>
    <row r="793" spans="1:3" x14ac:dyDescent="0.5">
      <c r="A793" t="s">
        <v>1051</v>
      </c>
      <c r="B793" t="s">
        <v>2387</v>
      </c>
      <c r="C793" s="4" t="str">
        <f>IF(ISERROR(_xlfn.XMATCH(B793,oldlist!B:B,0)),"not found","found")</f>
        <v>not found</v>
      </c>
    </row>
    <row r="794" spans="1:3" x14ac:dyDescent="0.5">
      <c r="A794" t="s">
        <v>1051</v>
      </c>
      <c r="B794" t="s">
        <v>2385</v>
      </c>
      <c r="C794" s="4" t="str">
        <f>IF(ISERROR(_xlfn.XMATCH(B794,oldlist!B:B,0)),"not found","found")</f>
        <v>not found</v>
      </c>
    </row>
    <row r="795" spans="1:3" x14ac:dyDescent="0.5">
      <c r="A795" t="s">
        <v>1051</v>
      </c>
      <c r="B795" t="s">
        <v>2325</v>
      </c>
      <c r="C795" s="4" t="str">
        <f>IF(ISERROR(_xlfn.XMATCH(B795,oldlist!B:B,0)),"not found","found")</f>
        <v>found</v>
      </c>
    </row>
    <row r="796" spans="1:3" x14ac:dyDescent="0.5">
      <c r="A796" t="s">
        <v>1051</v>
      </c>
      <c r="B796" t="s">
        <v>2275</v>
      </c>
      <c r="C796" s="4" t="str">
        <f>IF(ISERROR(_xlfn.XMATCH(B796,oldlist!B:B,0)),"not found","found")</f>
        <v>found</v>
      </c>
    </row>
    <row r="797" spans="1:3" x14ac:dyDescent="0.5">
      <c r="A797" t="s">
        <v>1051</v>
      </c>
      <c r="B797" t="s">
        <v>1615</v>
      </c>
      <c r="C797" s="4" t="str">
        <f>IF(ISERROR(_xlfn.XMATCH(B797,oldlist!B:B,0)),"not found","found")</f>
        <v>found</v>
      </c>
    </row>
    <row r="798" spans="1:3" x14ac:dyDescent="0.5">
      <c r="A798" t="s">
        <v>1051</v>
      </c>
      <c r="B798" t="s">
        <v>2349</v>
      </c>
      <c r="C798" s="4" t="str">
        <f>IF(ISERROR(_xlfn.XMATCH(B798,oldlist!B:B,0)),"not found","found")</f>
        <v>found</v>
      </c>
    </row>
    <row r="799" spans="1:3" x14ac:dyDescent="0.5">
      <c r="A799" t="s">
        <v>1051</v>
      </c>
      <c r="B799" t="s">
        <v>1413</v>
      </c>
      <c r="C799" s="4" t="str">
        <f>IF(ISERROR(_xlfn.XMATCH(B799,oldlist!B:B,0)),"not found","found")</f>
        <v>found</v>
      </c>
    </row>
    <row r="800" spans="1:3" x14ac:dyDescent="0.5">
      <c r="A800" t="s">
        <v>1051</v>
      </c>
      <c r="B800" t="s">
        <v>1421</v>
      </c>
      <c r="C800" s="4" t="str">
        <f>IF(ISERROR(_xlfn.XMATCH(B800,oldlist!B:B,0)),"not found","found")</f>
        <v>found</v>
      </c>
    </row>
    <row r="801" spans="1:3" x14ac:dyDescent="0.5">
      <c r="A801" t="s">
        <v>1051</v>
      </c>
      <c r="B801" t="s">
        <v>1427</v>
      </c>
      <c r="C801" s="4" t="str">
        <f>IF(ISERROR(_xlfn.XMATCH(B801,oldlist!B:B,0)),"not found","found")</f>
        <v>found</v>
      </c>
    </row>
    <row r="802" spans="1:3" x14ac:dyDescent="0.5">
      <c r="A802" t="s">
        <v>1051</v>
      </c>
      <c r="B802" t="s">
        <v>1993</v>
      </c>
      <c r="C802" s="4" t="str">
        <f>IF(ISERROR(_xlfn.XMATCH(B802,oldlist!B:B,0)),"not found","found")</f>
        <v>found</v>
      </c>
    </row>
    <row r="803" spans="1:3" x14ac:dyDescent="0.5">
      <c r="A803" t="s">
        <v>1051</v>
      </c>
      <c r="B803" t="s">
        <v>2075</v>
      </c>
      <c r="C803" s="4" t="str">
        <f>IF(ISERROR(_xlfn.XMATCH(B803,oldlist!B:B,0)),"not found","found")</f>
        <v>not found</v>
      </c>
    </row>
    <row r="804" spans="1:3" x14ac:dyDescent="0.5">
      <c r="A804" t="s">
        <v>1051</v>
      </c>
      <c r="B804" t="s">
        <v>1901</v>
      </c>
      <c r="C804" s="4" t="str">
        <f>IF(ISERROR(_xlfn.XMATCH(B804,oldlist!B:B,0)),"not found","found")</f>
        <v>found</v>
      </c>
    </row>
    <row r="805" spans="1:3" x14ac:dyDescent="0.5">
      <c r="A805" t="s">
        <v>1051</v>
      </c>
      <c r="B805" t="s">
        <v>2063</v>
      </c>
      <c r="C805" s="4" t="str">
        <f>IF(ISERROR(_xlfn.XMATCH(B805,oldlist!B:B,0)),"not found","found")</f>
        <v>found</v>
      </c>
    </row>
    <row r="806" spans="1:3" x14ac:dyDescent="0.5">
      <c r="A806" t="s">
        <v>1051</v>
      </c>
      <c r="B806" t="s">
        <v>2017</v>
      </c>
      <c r="C806" s="4" t="str">
        <f>IF(ISERROR(_xlfn.XMATCH(B806,oldlist!B:B,0)),"not found","found")</f>
        <v>found</v>
      </c>
    </row>
    <row r="807" spans="1:3" x14ac:dyDescent="0.5">
      <c r="A807" t="s">
        <v>1051</v>
      </c>
      <c r="B807" t="s">
        <v>1561</v>
      </c>
      <c r="C807" s="4" t="str">
        <f>IF(ISERROR(_xlfn.XMATCH(B807,oldlist!B:B,0)),"not found","found")</f>
        <v>found</v>
      </c>
    </row>
    <row r="808" spans="1:3" x14ac:dyDescent="0.5">
      <c r="A808" t="s">
        <v>1051</v>
      </c>
      <c r="B808" t="s">
        <v>2073</v>
      </c>
      <c r="C808" s="4" t="str">
        <f>IF(ISERROR(_xlfn.XMATCH(B808,oldlist!B:B,0)),"not found","found")</f>
        <v>found</v>
      </c>
    </row>
    <row r="809" spans="1:3" x14ac:dyDescent="0.5">
      <c r="A809" t="s">
        <v>1051</v>
      </c>
      <c r="B809" t="s">
        <v>1781</v>
      </c>
      <c r="C809" s="4" t="str">
        <f>IF(ISERROR(_xlfn.XMATCH(B809,oldlist!B:B,0)),"not found","found")</f>
        <v>found</v>
      </c>
    </row>
    <row r="810" spans="1:3" x14ac:dyDescent="0.5">
      <c r="A810" t="s">
        <v>1051</v>
      </c>
      <c r="B810" t="s">
        <v>1619</v>
      </c>
      <c r="C810" s="4" t="str">
        <f>IF(ISERROR(_xlfn.XMATCH(B810,oldlist!B:B,0)),"not found","found")</f>
        <v>found</v>
      </c>
    </row>
    <row r="811" spans="1:3" x14ac:dyDescent="0.5">
      <c r="A811" t="s">
        <v>1051</v>
      </c>
      <c r="B811" t="s">
        <v>1989</v>
      </c>
      <c r="C811" s="4" t="str">
        <f>IF(ISERROR(_xlfn.XMATCH(B811,oldlist!B:B,0)),"not found","found")</f>
        <v>found</v>
      </c>
    </row>
    <row r="812" spans="1:3" x14ac:dyDescent="0.5">
      <c r="A812" t="s">
        <v>1051</v>
      </c>
      <c r="B812" t="s">
        <v>1829</v>
      </c>
      <c r="C812" s="4" t="str">
        <f>IF(ISERROR(_xlfn.XMATCH(B812,oldlist!B:B,0)),"not found","found")</f>
        <v>found</v>
      </c>
    </row>
    <row r="813" spans="1:3" x14ac:dyDescent="0.5">
      <c r="A813" t="s">
        <v>1051</v>
      </c>
      <c r="B813" t="s">
        <v>2273</v>
      </c>
      <c r="C813" s="4" t="str">
        <f>IF(ISERROR(_xlfn.XMATCH(B813,oldlist!B:B,0)),"not found","found")</f>
        <v>not found</v>
      </c>
    </row>
    <row r="814" spans="1:3" x14ac:dyDescent="0.5">
      <c r="A814" t="s">
        <v>1051</v>
      </c>
      <c r="B814" t="s">
        <v>2237</v>
      </c>
      <c r="C814" s="4" t="str">
        <f>IF(ISERROR(_xlfn.XMATCH(B814,oldlist!B:B,0)),"not found","found")</f>
        <v>found</v>
      </c>
    </row>
    <row r="815" spans="1:3" x14ac:dyDescent="0.5">
      <c r="A815" t="s">
        <v>1051</v>
      </c>
      <c r="B815" t="s">
        <v>2773</v>
      </c>
      <c r="C815" s="4" t="str">
        <f>IF(ISERROR(_xlfn.XMATCH(B815,oldlist!B:B,0)),"not found","found")</f>
        <v>found</v>
      </c>
    </row>
    <row r="816" spans="1:3" x14ac:dyDescent="0.5">
      <c r="A816" t="s">
        <v>1051</v>
      </c>
      <c r="B816" t="s">
        <v>2767</v>
      </c>
      <c r="C816" s="4" t="str">
        <f>IF(ISERROR(_xlfn.XMATCH(B816,oldlist!B:B,0)),"not found","found")</f>
        <v>found</v>
      </c>
    </row>
    <row r="817" spans="1:3" x14ac:dyDescent="0.5">
      <c r="A817" t="s">
        <v>1051</v>
      </c>
      <c r="B817" t="s">
        <v>2771</v>
      </c>
      <c r="C817" s="4" t="str">
        <f>IF(ISERROR(_xlfn.XMATCH(B817,oldlist!B:B,0)),"not found","found")</f>
        <v>not found</v>
      </c>
    </row>
    <row r="818" spans="1:3" x14ac:dyDescent="0.5">
      <c r="A818" t="s">
        <v>1051</v>
      </c>
      <c r="B818" t="s">
        <v>2775</v>
      </c>
      <c r="C818" s="4" t="str">
        <f>IF(ISERROR(_xlfn.XMATCH(B818,oldlist!B:B,0)),"not found","found")</f>
        <v>not found</v>
      </c>
    </row>
    <row r="819" spans="1:3" x14ac:dyDescent="0.5">
      <c r="A819" t="s">
        <v>1051</v>
      </c>
      <c r="B819" t="s">
        <v>1515</v>
      </c>
      <c r="C819" s="4" t="str">
        <f>IF(ISERROR(_xlfn.XMATCH(B819,oldlist!B:B,0)),"not found","found")</f>
        <v>found</v>
      </c>
    </row>
    <row r="820" spans="1:3" x14ac:dyDescent="0.5">
      <c r="A820" t="s">
        <v>1051</v>
      </c>
      <c r="B820" t="s">
        <v>1573</v>
      </c>
      <c r="C820" s="4" t="str">
        <f>IF(ISERROR(_xlfn.XMATCH(B820,oldlist!B:B,0)),"not found","found")</f>
        <v>found</v>
      </c>
    </row>
    <row r="821" spans="1:3" x14ac:dyDescent="0.5">
      <c r="A821" t="s">
        <v>1051</v>
      </c>
      <c r="B821" t="s">
        <v>2499</v>
      </c>
      <c r="C821" s="4" t="str">
        <f>IF(ISERROR(_xlfn.XMATCH(B821,oldlist!B:B,0)),"not found","found")</f>
        <v>not found</v>
      </c>
    </row>
    <row r="822" spans="1:3" x14ac:dyDescent="0.5">
      <c r="A822" t="s">
        <v>1051</v>
      </c>
      <c r="B822" t="s">
        <v>2503</v>
      </c>
      <c r="C822" s="4" t="str">
        <f>IF(ISERROR(_xlfn.XMATCH(B822,oldlist!B:B,0)),"not found","found")</f>
        <v>not found</v>
      </c>
    </row>
    <row r="823" spans="1:3" x14ac:dyDescent="0.5">
      <c r="A823" t="s">
        <v>1051</v>
      </c>
      <c r="B823" t="s">
        <v>1951</v>
      </c>
      <c r="C823" s="4" t="str">
        <f>IF(ISERROR(_xlfn.XMATCH(B823,oldlist!B:B,0)),"not found","found")</f>
        <v>found</v>
      </c>
    </row>
    <row r="824" spans="1:3" x14ac:dyDescent="0.5">
      <c r="A824" t="s">
        <v>1051</v>
      </c>
      <c r="B824" t="s">
        <v>1933</v>
      </c>
      <c r="C824" s="4" t="str">
        <f>IF(ISERROR(_xlfn.XMATCH(B824,oldlist!B:B,0)),"not found","found")</f>
        <v>found</v>
      </c>
    </row>
    <row r="825" spans="1:3" x14ac:dyDescent="0.5">
      <c r="A825" t="s">
        <v>1051</v>
      </c>
      <c r="B825" t="s">
        <v>1729</v>
      </c>
      <c r="C825" s="4" t="str">
        <f>IF(ISERROR(_xlfn.XMATCH(B825,oldlist!B:B,0)),"not found","found")</f>
        <v>found</v>
      </c>
    </row>
    <row r="826" spans="1:3" x14ac:dyDescent="0.5">
      <c r="A826" t="s">
        <v>1051</v>
      </c>
      <c r="B826" t="s">
        <v>2417</v>
      </c>
      <c r="C826" s="4" t="str">
        <f>IF(ISERROR(_xlfn.XMATCH(B826,oldlist!B:B,0)),"not found","found")</f>
        <v>not found</v>
      </c>
    </row>
    <row r="827" spans="1:3" x14ac:dyDescent="0.5">
      <c r="A827" t="s">
        <v>1051</v>
      </c>
      <c r="B827" t="s">
        <v>2159</v>
      </c>
      <c r="C827" s="4" t="str">
        <f>IF(ISERROR(_xlfn.XMATCH(B827,oldlist!B:B,0)),"not found","found")</f>
        <v>not found</v>
      </c>
    </row>
    <row r="828" spans="1:3" x14ac:dyDescent="0.5">
      <c r="A828" t="s">
        <v>1051</v>
      </c>
      <c r="B828" t="s">
        <v>2217</v>
      </c>
      <c r="C828" s="4" t="str">
        <f>IF(ISERROR(_xlfn.XMATCH(B828,oldlist!B:B,0)),"not found","found")</f>
        <v>not found</v>
      </c>
    </row>
    <row r="829" spans="1:3" x14ac:dyDescent="0.5">
      <c r="A829" t="s">
        <v>1051</v>
      </c>
      <c r="B829" t="s">
        <v>2747</v>
      </c>
      <c r="C829" s="4" t="str">
        <f>IF(ISERROR(_xlfn.XMATCH(B829,oldlist!B:B,0)),"not found","found")</f>
        <v>found</v>
      </c>
    </row>
    <row r="830" spans="1:3" x14ac:dyDescent="0.5">
      <c r="A830" t="s">
        <v>1051</v>
      </c>
      <c r="B830" t="s">
        <v>1121</v>
      </c>
      <c r="C830" s="4" t="str">
        <f>IF(ISERROR(_xlfn.XMATCH(B830,oldlist!B:B,0)),"not found","found")</f>
        <v>found</v>
      </c>
    </row>
    <row r="831" spans="1:3" x14ac:dyDescent="0.5">
      <c r="A831" t="s">
        <v>1051</v>
      </c>
      <c r="B831" t="s">
        <v>1435</v>
      </c>
      <c r="C831" s="4" t="str">
        <f>IF(ISERROR(_xlfn.XMATCH(B831,oldlist!B:B,0)),"not found","found")</f>
        <v>found</v>
      </c>
    </row>
    <row r="832" spans="1:3" x14ac:dyDescent="0.5">
      <c r="A832" t="s">
        <v>1051</v>
      </c>
      <c r="B832" t="s">
        <v>1689</v>
      </c>
      <c r="C832" s="4" t="str">
        <f>IF(ISERROR(_xlfn.XMATCH(B832,oldlist!B:B,0)),"not found","found")</f>
        <v>found</v>
      </c>
    </row>
    <row r="833" spans="1:3" x14ac:dyDescent="0.5">
      <c r="A833" t="s">
        <v>1051</v>
      </c>
      <c r="B833" t="s">
        <v>2337</v>
      </c>
      <c r="C833" s="4" t="str">
        <f>IF(ISERROR(_xlfn.XMATCH(B833,oldlist!B:B,0)),"not found","found")</f>
        <v>not found</v>
      </c>
    </row>
    <row r="834" spans="1:3" x14ac:dyDescent="0.5">
      <c r="A834" t="s">
        <v>1051</v>
      </c>
      <c r="B834" t="s">
        <v>2537</v>
      </c>
      <c r="C834" s="4" t="str">
        <f>IF(ISERROR(_xlfn.XMATCH(B834,oldlist!B:B,0)),"not found","found")</f>
        <v>found</v>
      </c>
    </row>
    <row r="835" spans="1:3" x14ac:dyDescent="0.5">
      <c r="A835" t="s">
        <v>1051</v>
      </c>
      <c r="B835" t="s">
        <v>1357</v>
      </c>
      <c r="C835" s="4" t="str">
        <f>IF(ISERROR(_xlfn.XMATCH(B835,oldlist!B:B,0)),"not found","found")</f>
        <v>found</v>
      </c>
    </row>
    <row r="836" spans="1:3" x14ac:dyDescent="0.5">
      <c r="A836" t="s">
        <v>1051</v>
      </c>
      <c r="B836" t="s">
        <v>1787</v>
      </c>
      <c r="C836" s="4" t="str">
        <f>IF(ISERROR(_xlfn.XMATCH(B836,oldlist!B:B,0)),"not found","found")</f>
        <v>found</v>
      </c>
    </row>
    <row r="837" spans="1:3" x14ac:dyDescent="0.5">
      <c r="A837" t="s">
        <v>1051</v>
      </c>
      <c r="B837" t="s">
        <v>1165</v>
      </c>
      <c r="C837" s="4" t="str">
        <f>IF(ISERROR(_xlfn.XMATCH(B837,oldlist!B:B,0)),"not found","found")</f>
        <v>found</v>
      </c>
    </row>
    <row r="838" spans="1:3" x14ac:dyDescent="0.5">
      <c r="A838" t="s">
        <v>1051</v>
      </c>
      <c r="B838" t="s">
        <v>2167</v>
      </c>
      <c r="C838" s="4" t="str">
        <f>IF(ISERROR(_xlfn.XMATCH(B838,oldlist!B:B,0)),"not found","found")</f>
        <v>found</v>
      </c>
    </row>
    <row r="839" spans="1:3" x14ac:dyDescent="0.5">
      <c r="A839" t="s">
        <v>1051</v>
      </c>
      <c r="B839" t="s">
        <v>1347</v>
      </c>
      <c r="C839" s="4" t="str">
        <f>IF(ISERROR(_xlfn.XMATCH(B839,oldlist!B:B,0)),"not found","found")</f>
        <v>found</v>
      </c>
    </row>
    <row r="840" spans="1:3" x14ac:dyDescent="0.5">
      <c r="A840" t="s">
        <v>1051</v>
      </c>
      <c r="B840" t="s">
        <v>2431</v>
      </c>
      <c r="C840" s="4" t="str">
        <f>IF(ISERROR(_xlfn.XMATCH(B840,oldlist!B:B,0)),"not found","found")</f>
        <v>not found</v>
      </c>
    </row>
    <row r="841" spans="1:3" x14ac:dyDescent="0.5">
      <c r="A841" t="s">
        <v>1051</v>
      </c>
      <c r="B841" t="s">
        <v>1637</v>
      </c>
      <c r="C841" s="4" t="str">
        <f>IF(ISERROR(_xlfn.XMATCH(B841,oldlist!B:B,0)),"not found","found")</f>
        <v>found</v>
      </c>
    </row>
    <row r="842" spans="1:3" x14ac:dyDescent="0.5">
      <c r="A842" t="s">
        <v>1051</v>
      </c>
      <c r="B842" t="s">
        <v>1125</v>
      </c>
      <c r="C842" s="4" t="str">
        <f>IF(ISERROR(_xlfn.XMATCH(B842,oldlist!B:B,0)),"not found","found")</f>
        <v>found</v>
      </c>
    </row>
    <row r="843" spans="1:3" x14ac:dyDescent="0.5">
      <c r="A843" t="s">
        <v>1051</v>
      </c>
      <c r="B843" t="s">
        <v>2433</v>
      </c>
      <c r="C843" s="4" t="str">
        <f>IF(ISERROR(_xlfn.XMATCH(B843,oldlist!B:B,0)),"not found","found")</f>
        <v>not found</v>
      </c>
    </row>
    <row r="844" spans="1:3" x14ac:dyDescent="0.5">
      <c r="A844" t="s">
        <v>1051</v>
      </c>
      <c r="B844" t="s">
        <v>2225</v>
      </c>
      <c r="C844" s="4" t="str">
        <f>IF(ISERROR(_xlfn.XMATCH(B844,oldlist!B:B,0)),"not found","found")</f>
        <v>found</v>
      </c>
    </row>
    <row r="845" spans="1:3" x14ac:dyDescent="0.5">
      <c r="A845" t="s">
        <v>1051</v>
      </c>
      <c r="B845" t="s">
        <v>2077</v>
      </c>
      <c r="C845" s="4" t="str">
        <f>IF(ISERROR(_xlfn.XMATCH(B845,oldlist!B:B,0)),"not found","found")</f>
        <v>found</v>
      </c>
    </row>
    <row r="846" spans="1:3" x14ac:dyDescent="0.5">
      <c r="A846" t="s">
        <v>1051</v>
      </c>
      <c r="B846" t="s">
        <v>1683</v>
      </c>
      <c r="C846" s="4" t="str">
        <f>IF(ISERROR(_xlfn.XMATCH(B846,oldlist!B:B,0)),"not found","found")</f>
        <v>found</v>
      </c>
    </row>
    <row r="847" spans="1:3" x14ac:dyDescent="0.5">
      <c r="A847" t="s">
        <v>1051</v>
      </c>
      <c r="B847" t="s">
        <v>1861</v>
      </c>
      <c r="C847" s="4" t="str">
        <f>IF(ISERROR(_xlfn.XMATCH(B847,oldlist!B:B,0)),"not found","found")</f>
        <v>found</v>
      </c>
    </row>
    <row r="848" spans="1:3" x14ac:dyDescent="0.5">
      <c r="A848" t="s">
        <v>1051</v>
      </c>
      <c r="B848" t="s">
        <v>1091</v>
      </c>
      <c r="C848" s="4" t="str">
        <f>IF(ISERROR(_xlfn.XMATCH(B848,oldlist!B:B,0)),"not found","found")</f>
        <v>found</v>
      </c>
    </row>
    <row r="849" spans="1:3" x14ac:dyDescent="0.5">
      <c r="A849" t="s">
        <v>1051</v>
      </c>
      <c r="B849" t="s">
        <v>1050</v>
      </c>
      <c r="C849" s="4" t="str">
        <f>IF(ISERROR(_xlfn.XMATCH(B849,oldlist!B:B,0)),"not found","found")</f>
        <v>found</v>
      </c>
    </row>
    <row r="850" spans="1:3" x14ac:dyDescent="0.5">
      <c r="A850" t="s">
        <v>1051</v>
      </c>
      <c r="B850" t="s">
        <v>1409</v>
      </c>
      <c r="C850" s="4" t="str">
        <f>IF(ISERROR(_xlfn.XMATCH(B850,oldlist!B:B,0)),"not found","found")</f>
        <v>found</v>
      </c>
    </row>
    <row r="851" spans="1:3" x14ac:dyDescent="0.5">
      <c r="A851" t="s">
        <v>1051</v>
      </c>
      <c r="B851" t="s">
        <v>1395</v>
      </c>
      <c r="C851" s="4" t="str">
        <f>IF(ISERROR(_xlfn.XMATCH(B851,oldlist!B:B,0)),"not found","found")</f>
        <v>found</v>
      </c>
    </row>
    <row r="852" spans="1:3" x14ac:dyDescent="0.5">
      <c r="A852" t="s">
        <v>1051</v>
      </c>
      <c r="B852" t="s">
        <v>1219</v>
      </c>
      <c r="C852" s="4" t="str">
        <f>IF(ISERROR(_xlfn.XMATCH(B852,oldlist!B:B,0)),"not found","found")</f>
        <v>found</v>
      </c>
    </row>
    <row r="853" spans="1:3" x14ac:dyDescent="0.5">
      <c r="A853" t="s">
        <v>1051</v>
      </c>
      <c r="B853" t="s">
        <v>2715</v>
      </c>
      <c r="C853" s="4" t="str">
        <f>IF(ISERROR(_xlfn.XMATCH(B853,oldlist!B:B,0)),"not found","found")</f>
        <v>not found</v>
      </c>
    </row>
    <row r="854" spans="1:3" x14ac:dyDescent="0.5">
      <c r="A854" t="s">
        <v>1051</v>
      </c>
      <c r="B854" t="s">
        <v>1309</v>
      </c>
      <c r="C854" s="4" t="str">
        <f>IF(ISERROR(_xlfn.XMATCH(B854,oldlist!B:B,0)),"not found","found")</f>
        <v>found</v>
      </c>
    </row>
    <row r="855" spans="1:3" x14ac:dyDescent="0.5">
      <c r="A855" t="s">
        <v>1051</v>
      </c>
      <c r="B855" t="s">
        <v>1179</v>
      </c>
      <c r="C855" s="4" t="str">
        <f>IF(ISERROR(_xlfn.XMATCH(B855,oldlist!B:B,0)),"not found","found")</f>
        <v>found</v>
      </c>
    </row>
    <row r="856" spans="1:3" x14ac:dyDescent="0.5">
      <c r="A856" t="s">
        <v>1051</v>
      </c>
      <c r="B856" t="s">
        <v>1891</v>
      </c>
      <c r="C856" s="4" t="str">
        <f>IF(ISERROR(_xlfn.XMATCH(B856,oldlist!B:B,0)),"not found","found")</f>
        <v>found</v>
      </c>
    </row>
    <row r="857" spans="1:3" x14ac:dyDescent="0.5">
      <c r="A857" t="s">
        <v>1051</v>
      </c>
      <c r="B857" t="s">
        <v>2645</v>
      </c>
      <c r="C857" s="4" t="str">
        <f>IF(ISERROR(_xlfn.XMATCH(B857,oldlist!B:B,0)),"not found","found")</f>
        <v>not found</v>
      </c>
    </row>
    <row r="858" spans="1:3" x14ac:dyDescent="0.5">
      <c r="A858" t="s">
        <v>1051</v>
      </c>
      <c r="B858" t="s">
        <v>1767</v>
      </c>
      <c r="C858" s="4" t="str">
        <f>IF(ISERROR(_xlfn.XMATCH(B858,oldlist!B:B,0)),"not found","found")</f>
        <v>found</v>
      </c>
    </row>
    <row r="859" spans="1:3" x14ac:dyDescent="0.5">
      <c r="A859" t="s">
        <v>1051</v>
      </c>
      <c r="B859" t="s">
        <v>2609</v>
      </c>
      <c r="C859" s="4" t="str">
        <f>IF(ISERROR(_xlfn.XMATCH(B859,oldlist!B:B,0)),"not found","found")</f>
        <v>not found</v>
      </c>
    </row>
    <row r="860" spans="1:3" x14ac:dyDescent="0.5">
      <c r="A860" t="s">
        <v>1051</v>
      </c>
      <c r="B860" t="s">
        <v>2547</v>
      </c>
      <c r="C860" s="4" t="str">
        <f>IF(ISERROR(_xlfn.XMATCH(B860,oldlist!B:B,0)),"not found","found")</f>
        <v>not found</v>
      </c>
    </row>
    <row r="861" spans="1:3" x14ac:dyDescent="0.5">
      <c r="A861" t="s">
        <v>1051</v>
      </c>
      <c r="B861" t="s">
        <v>2663</v>
      </c>
      <c r="C861" s="4" t="str">
        <f>IF(ISERROR(_xlfn.XMATCH(B861,oldlist!B:B,0)),"not found","found")</f>
        <v>not found</v>
      </c>
    </row>
    <row r="862" spans="1:3" x14ac:dyDescent="0.5">
      <c r="A862" t="s">
        <v>1051</v>
      </c>
      <c r="B862" t="s">
        <v>1939</v>
      </c>
      <c r="C862" s="4" t="str">
        <f>IF(ISERROR(_xlfn.XMATCH(B862,oldlist!B:B,0)),"not found","found")</f>
        <v>found</v>
      </c>
    </row>
    <row r="863" spans="1:3" x14ac:dyDescent="0.5">
      <c r="A863" t="s">
        <v>1051</v>
      </c>
      <c r="B863" t="s">
        <v>2635</v>
      </c>
      <c r="C863" s="4" t="str">
        <f>IF(ISERROR(_xlfn.XMATCH(B863,oldlist!B:B,0)),"not found","found")</f>
        <v>not found</v>
      </c>
    </row>
    <row r="864" spans="1:3" x14ac:dyDescent="0.5">
      <c r="A864" t="s">
        <v>1051</v>
      </c>
      <c r="B864" t="s">
        <v>2357</v>
      </c>
      <c r="C864" s="4" t="str">
        <f>IF(ISERROR(_xlfn.XMATCH(B864,oldlist!B:B,0)),"not found","found")</f>
        <v>found</v>
      </c>
    </row>
    <row r="865" spans="1:3" x14ac:dyDescent="0.5">
      <c r="A865" t="s">
        <v>1051</v>
      </c>
      <c r="B865" t="s">
        <v>2551</v>
      </c>
      <c r="C865" s="4" t="str">
        <f>IF(ISERROR(_xlfn.XMATCH(B865,oldlist!B:B,0)),"not found","found")</f>
        <v>found</v>
      </c>
    </row>
    <row r="866" spans="1:3" x14ac:dyDescent="0.5">
      <c r="A866" t="s">
        <v>1051</v>
      </c>
      <c r="B866" t="s">
        <v>1457</v>
      </c>
      <c r="C866" s="4" t="str">
        <f>IF(ISERROR(_xlfn.XMATCH(B866,oldlist!B:B,0)),"not found","found")</f>
        <v>found</v>
      </c>
    </row>
    <row r="867" spans="1:3" x14ac:dyDescent="0.5">
      <c r="A867" t="s">
        <v>1051</v>
      </c>
      <c r="B867" t="s">
        <v>1973</v>
      </c>
      <c r="C867" s="4" t="str">
        <f>IF(ISERROR(_xlfn.XMATCH(B867,oldlist!B:B,0)),"not found","found")</f>
        <v>found</v>
      </c>
    </row>
    <row r="868" spans="1:3" x14ac:dyDescent="0.5">
      <c r="A868" t="s">
        <v>1051</v>
      </c>
      <c r="B868" t="s">
        <v>2389</v>
      </c>
      <c r="C868" s="4" t="str">
        <f>IF(ISERROR(_xlfn.XMATCH(B868,oldlist!B:B,0)),"not found","found")</f>
        <v>found</v>
      </c>
    </row>
    <row r="869" spans="1:3" x14ac:dyDescent="0.5">
      <c r="A869" t="s">
        <v>1051</v>
      </c>
      <c r="B869" t="s">
        <v>2067</v>
      </c>
      <c r="C869" s="4" t="str">
        <f>IF(ISERROR(_xlfn.XMATCH(B869,oldlist!B:B,0)),"not found","found")</f>
        <v>found</v>
      </c>
    </row>
    <row r="870" spans="1:3" x14ac:dyDescent="0.5">
      <c r="A870" t="s">
        <v>1051</v>
      </c>
      <c r="B870" t="s">
        <v>1581</v>
      </c>
      <c r="C870" s="4" t="str">
        <f>IF(ISERROR(_xlfn.XMATCH(B870,oldlist!B:B,0)),"not found","found")</f>
        <v>found</v>
      </c>
    </row>
    <row r="871" spans="1:3" x14ac:dyDescent="0.5">
      <c r="A871" t="s">
        <v>1051</v>
      </c>
      <c r="B871" t="s">
        <v>2149</v>
      </c>
      <c r="C871" s="4" t="str">
        <f>IF(ISERROR(_xlfn.XMATCH(B871,oldlist!B:B,0)),"not found","found")</f>
        <v>not found</v>
      </c>
    </row>
    <row r="872" spans="1:3" x14ac:dyDescent="0.5">
      <c r="A872" t="s">
        <v>1051</v>
      </c>
      <c r="B872" t="s">
        <v>1605</v>
      </c>
      <c r="C872" s="4" t="str">
        <f>IF(ISERROR(_xlfn.XMATCH(B872,oldlist!B:B,0)),"not found","found")</f>
        <v>found</v>
      </c>
    </row>
    <row r="873" spans="1:3" x14ac:dyDescent="0.5">
      <c r="A873" t="s">
        <v>1051</v>
      </c>
      <c r="B873" t="s">
        <v>2257</v>
      </c>
      <c r="C873" s="4" t="str">
        <f>IF(ISERROR(_xlfn.XMATCH(B873,oldlist!B:B,0)),"not found","found")</f>
        <v>found</v>
      </c>
    </row>
    <row r="874" spans="1:3" x14ac:dyDescent="0.5">
      <c r="A874" t="s">
        <v>1051</v>
      </c>
      <c r="B874" t="s">
        <v>2191</v>
      </c>
      <c r="C874" s="4" t="str">
        <f>IF(ISERROR(_xlfn.XMATCH(B874,oldlist!B:B,0)),"not found","found")</f>
        <v>found</v>
      </c>
    </row>
    <row r="875" spans="1:3" x14ac:dyDescent="0.5">
      <c r="A875" t="s">
        <v>1051</v>
      </c>
      <c r="B875" t="s">
        <v>2331</v>
      </c>
      <c r="C875" s="4" t="str">
        <f>IF(ISERROR(_xlfn.XMATCH(B875,oldlist!B:B,0)),"not found","found")</f>
        <v>found</v>
      </c>
    </row>
    <row r="876" spans="1:3" x14ac:dyDescent="0.5">
      <c r="A876" t="s">
        <v>1051</v>
      </c>
      <c r="B876" t="s">
        <v>2181</v>
      </c>
      <c r="C876" s="4" t="str">
        <f>IF(ISERROR(_xlfn.XMATCH(B876,oldlist!B:B,0)),"not found","found")</f>
        <v>not found</v>
      </c>
    </row>
    <row r="877" spans="1:3" x14ac:dyDescent="0.5">
      <c r="A877" t="s">
        <v>1051</v>
      </c>
      <c r="B877" t="s">
        <v>1899</v>
      </c>
      <c r="C877" s="4" t="str">
        <f>IF(ISERROR(_xlfn.XMATCH(B877,oldlist!B:B,0)),"not found","found")</f>
        <v>found</v>
      </c>
    </row>
    <row r="878" spans="1:3" x14ac:dyDescent="0.5">
      <c r="A878" t="s">
        <v>1051</v>
      </c>
      <c r="B878" t="s">
        <v>2161</v>
      </c>
      <c r="C878" s="4" t="str">
        <f>IF(ISERROR(_xlfn.XMATCH(B878,oldlist!B:B,0)),"not found","found")</f>
        <v>found</v>
      </c>
    </row>
    <row r="879" spans="1:3" x14ac:dyDescent="0.5">
      <c r="A879" t="s">
        <v>1051</v>
      </c>
      <c r="B879" t="s">
        <v>1405</v>
      </c>
      <c r="C879" s="4" t="str">
        <f>IF(ISERROR(_xlfn.XMATCH(B879,oldlist!B:B,0)),"not found","found")</f>
        <v>found</v>
      </c>
    </row>
    <row r="880" spans="1:3" x14ac:dyDescent="0.5">
      <c r="A880" t="s">
        <v>1051</v>
      </c>
      <c r="B880" t="s">
        <v>2203</v>
      </c>
      <c r="C880" s="4" t="str">
        <f>IF(ISERROR(_xlfn.XMATCH(B880,oldlist!B:B,0)),"not found","found")</f>
        <v>found</v>
      </c>
    </row>
    <row r="881" spans="1:3" x14ac:dyDescent="0.5">
      <c r="A881" t="s">
        <v>1051</v>
      </c>
      <c r="B881" t="s">
        <v>2025</v>
      </c>
      <c r="C881" s="4" t="str">
        <f>IF(ISERROR(_xlfn.XMATCH(B881,oldlist!B:B,0)),"not found","found")</f>
        <v>not found</v>
      </c>
    </row>
    <row r="882" spans="1:3" x14ac:dyDescent="0.5">
      <c r="A882" t="s">
        <v>1051</v>
      </c>
      <c r="B882" t="s">
        <v>2507</v>
      </c>
      <c r="C882" s="4" t="str">
        <f>IF(ISERROR(_xlfn.XMATCH(B882,oldlist!B:B,0)),"not found","found")</f>
        <v>not found</v>
      </c>
    </row>
    <row r="883" spans="1:3" x14ac:dyDescent="0.5">
      <c r="A883" t="s">
        <v>1051</v>
      </c>
      <c r="B883" t="s">
        <v>1761</v>
      </c>
      <c r="C883" s="4" t="str">
        <f>IF(ISERROR(_xlfn.XMATCH(B883,oldlist!B:B,0)),"not found","found")</f>
        <v>found</v>
      </c>
    </row>
    <row r="884" spans="1:3" x14ac:dyDescent="0.5">
      <c r="A884" t="s">
        <v>1051</v>
      </c>
      <c r="B884" t="s">
        <v>1785</v>
      </c>
      <c r="C884" s="4" t="str">
        <f>IF(ISERROR(_xlfn.XMATCH(B884,oldlist!B:B,0)),"not found","found")</f>
        <v>found</v>
      </c>
    </row>
    <row r="885" spans="1:3" x14ac:dyDescent="0.5">
      <c r="A885" t="s">
        <v>1051</v>
      </c>
      <c r="B885" t="s">
        <v>2245</v>
      </c>
      <c r="C885" s="4" t="str">
        <f>IF(ISERROR(_xlfn.XMATCH(B885,oldlist!B:B,0)),"not found","found")</f>
        <v>found</v>
      </c>
    </row>
    <row r="886" spans="1:3" x14ac:dyDescent="0.5">
      <c r="A886" t="s">
        <v>1051</v>
      </c>
      <c r="B886" t="s">
        <v>2243</v>
      </c>
      <c r="C886" s="4" t="str">
        <f>IF(ISERROR(_xlfn.XMATCH(B886,oldlist!B:B,0)),"not found","found")</f>
        <v>found</v>
      </c>
    </row>
    <row r="887" spans="1:3" x14ac:dyDescent="0.5">
      <c r="A887" t="s">
        <v>1051</v>
      </c>
      <c r="B887" t="s">
        <v>1693</v>
      </c>
      <c r="C887" s="4" t="str">
        <f>IF(ISERROR(_xlfn.XMATCH(B887,oldlist!B:B,0)),"not found","found")</f>
        <v>found</v>
      </c>
    </row>
    <row r="888" spans="1:3" x14ac:dyDescent="0.5">
      <c r="A888" t="s">
        <v>1051</v>
      </c>
      <c r="B888" t="s">
        <v>1915</v>
      </c>
      <c r="C888" s="4" t="str">
        <f>IF(ISERROR(_xlfn.XMATCH(B888,oldlist!B:B,0)),"not found","found")</f>
        <v>found</v>
      </c>
    </row>
    <row r="889" spans="1:3" x14ac:dyDescent="0.5">
      <c r="A889" t="s">
        <v>1051</v>
      </c>
      <c r="B889" t="s">
        <v>1679</v>
      </c>
      <c r="C889" s="4" t="str">
        <f>IF(ISERROR(_xlfn.XMATCH(B889,oldlist!B:B,0)),"not found","found")</f>
        <v>found</v>
      </c>
    </row>
    <row r="890" spans="1:3" x14ac:dyDescent="0.5">
      <c r="A890" t="s">
        <v>1051</v>
      </c>
      <c r="B890" t="s">
        <v>1815</v>
      </c>
      <c r="C890" s="4" t="str">
        <f>IF(ISERROR(_xlfn.XMATCH(B890,oldlist!B:B,0)),"not found","found")</f>
        <v>found</v>
      </c>
    </row>
    <row r="891" spans="1:3" x14ac:dyDescent="0.5">
      <c r="A891" t="s">
        <v>1051</v>
      </c>
      <c r="B891" t="s">
        <v>1321</v>
      </c>
      <c r="C891" s="4" t="str">
        <f>IF(ISERROR(_xlfn.XMATCH(B891,oldlist!B:B,0)),"not found","found")</f>
        <v>found</v>
      </c>
    </row>
    <row r="892" spans="1:3" x14ac:dyDescent="0.5">
      <c r="A892" t="s">
        <v>1051</v>
      </c>
      <c r="B892" t="s">
        <v>1163</v>
      </c>
      <c r="C892" s="4" t="str">
        <f>IF(ISERROR(_xlfn.XMATCH(B892,oldlist!B:B,0)),"not found","found")</f>
        <v>found</v>
      </c>
    </row>
    <row r="893" spans="1:3" x14ac:dyDescent="0.5">
      <c r="A893" t="s">
        <v>1051</v>
      </c>
      <c r="B893" t="s">
        <v>1913</v>
      </c>
      <c r="C893" s="4" t="str">
        <f>IF(ISERROR(_xlfn.XMATCH(B893,oldlist!B:B,0)),"not found","found")</f>
        <v>found</v>
      </c>
    </row>
    <row r="894" spans="1:3" x14ac:dyDescent="0.5">
      <c r="A894" t="s">
        <v>1051</v>
      </c>
      <c r="B894" t="s">
        <v>1907</v>
      </c>
      <c r="C894" s="4" t="str">
        <f>IF(ISERROR(_xlfn.XMATCH(B894,oldlist!B:B,0)),"not found","found")</f>
        <v>found</v>
      </c>
    </row>
    <row r="895" spans="1:3" x14ac:dyDescent="0.5">
      <c r="A895" t="s">
        <v>1051</v>
      </c>
      <c r="B895" t="s">
        <v>1241</v>
      </c>
      <c r="C895" s="4" t="str">
        <f>IF(ISERROR(_xlfn.XMATCH(B895,oldlist!B:B,0)),"not found","found")</f>
        <v>found</v>
      </c>
    </row>
    <row r="896" spans="1:3" x14ac:dyDescent="0.5">
      <c r="A896" t="s">
        <v>1051</v>
      </c>
      <c r="B896" t="s">
        <v>1697</v>
      </c>
      <c r="C896" s="4" t="str">
        <f>IF(ISERROR(_xlfn.XMATCH(B896,oldlist!B:B,0)),"not found","found")</f>
        <v>found</v>
      </c>
    </row>
    <row r="897" spans="1:3" x14ac:dyDescent="0.5">
      <c r="A897" t="s">
        <v>1051</v>
      </c>
      <c r="B897" t="s">
        <v>1139</v>
      </c>
      <c r="C897" s="4" t="str">
        <f>IF(ISERROR(_xlfn.XMATCH(B897,oldlist!B:B,0)),"not found","found")</f>
        <v>found</v>
      </c>
    </row>
    <row r="898" spans="1:3" x14ac:dyDescent="0.5">
      <c r="A898" t="s">
        <v>1051</v>
      </c>
      <c r="B898" t="s">
        <v>1887</v>
      </c>
      <c r="C898" s="4" t="str">
        <f>IF(ISERROR(_xlfn.XMATCH(B898,oldlist!B:B,0)),"not found","found")</f>
        <v>found</v>
      </c>
    </row>
    <row r="899" spans="1:3" x14ac:dyDescent="0.5">
      <c r="A899" t="s">
        <v>1051</v>
      </c>
      <c r="B899" t="s">
        <v>2379</v>
      </c>
      <c r="C899" s="4" t="str">
        <f>IF(ISERROR(_xlfn.XMATCH(B899,oldlist!B:B,0)),"not found","found")</f>
        <v>found</v>
      </c>
    </row>
    <row r="900" spans="1:3" x14ac:dyDescent="0.5">
      <c r="A900" t="s">
        <v>1051</v>
      </c>
      <c r="B900" t="s">
        <v>2189</v>
      </c>
      <c r="C900" s="4" t="str">
        <f>IF(ISERROR(_xlfn.XMATCH(B900,oldlist!B:B,0)),"not found","found")</f>
        <v>found</v>
      </c>
    </row>
    <row r="901" spans="1:3" x14ac:dyDescent="0.5">
      <c r="A901" t="s">
        <v>1051</v>
      </c>
      <c r="B901" t="s">
        <v>1181</v>
      </c>
      <c r="C901" s="4" t="str">
        <f>IF(ISERROR(_xlfn.XMATCH(B901,oldlist!B:B,0)),"not found","found")</f>
        <v>found</v>
      </c>
    </row>
    <row r="902" spans="1:3" x14ac:dyDescent="0.5">
      <c r="A902" t="s">
        <v>1051</v>
      </c>
      <c r="B902" t="s">
        <v>1965</v>
      </c>
      <c r="C902" s="4" t="str">
        <f>IF(ISERROR(_xlfn.XMATCH(B902,oldlist!B:B,0)),"not found","found")</f>
        <v>found</v>
      </c>
    </row>
    <row r="903" spans="1:3" x14ac:dyDescent="0.5">
      <c r="A903" t="s">
        <v>1051</v>
      </c>
      <c r="B903" t="s">
        <v>2545</v>
      </c>
      <c r="C903" s="4" t="str">
        <f>IF(ISERROR(_xlfn.XMATCH(B903,oldlist!B:B,0)),"not found","found")</f>
        <v>not found</v>
      </c>
    </row>
    <row r="904" spans="1:3" x14ac:dyDescent="0.5">
      <c r="A904" t="s">
        <v>1051</v>
      </c>
      <c r="B904" t="s">
        <v>1287</v>
      </c>
      <c r="C904" s="4" t="str">
        <f>IF(ISERROR(_xlfn.XMATCH(B904,oldlist!B:B,0)),"not found","found")</f>
        <v>found</v>
      </c>
    </row>
    <row r="905" spans="1:3" x14ac:dyDescent="0.5">
      <c r="A905" t="s">
        <v>1051</v>
      </c>
      <c r="B905" t="s">
        <v>1327</v>
      </c>
      <c r="C905" s="4" t="str">
        <f>IF(ISERROR(_xlfn.XMATCH(B905,oldlist!B:B,0)),"not found","found")</f>
        <v>found</v>
      </c>
    </row>
    <row r="906" spans="1:3" x14ac:dyDescent="0.5">
      <c r="A906" t="s">
        <v>1051</v>
      </c>
      <c r="B906" t="s">
        <v>1065</v>
      </c>
      <c r="C906" s="4" t="str">
        <f>IF(ISERROR(_xlfn.XMATCH(B906,oldlist!B:B,0)),"not found","found")</f>
        <v>found</v>
      </c>
    </row>
    <row r="907" spans="1:3" x14ac:dyDescent="0.5">
      <c r="A907" t="s">
        <v>1051</v>
      </c>
      <c r="B907" t="s">
        <v>1141</v>
      </c>
      <c r="C907" s="4" t="str">
        <f>IF(ISERROR(_xlfn.XMATCH(B907,oldlist!B:B,0)),"not found","found")</f>
        <v>found</v>
      </c>
    </row>
    <row r="908" spans="1:3" x14ac:dyDescent="0.5">
      <c r="A908" t="s">
        <v>1051</v>
      </c>
      <c r="B908" t="s">
        <v>2637</v>
      </c>
      <c r="C908" s="4" t="str">
        <f>IF(ISERROR(_xlfn.XMATCH(B908,oldlist!B:B,0)),"not found","found")</f>
        <v>not found</v>
      </c>
    </row>
    <row r="909" spans="1:3" x14ac:dyDescent="0.5">
      <c r="A909" t="s">
        <v>1051</v>
      </c>
      <c r="B909" t="s">
        <v>1223</v>
      </c>
      <c r="C909" s="4" t="str">
        <f>IF(ISERROR(_xlfn.XMATCH(B909,oldlist!B:B,0)),"not found","found")</f>
        <v>found</v>
      </c>
    </row>
    <row r="910" spans="1:3" x14ac:dyDescent="0.5">
      <c r="A910" t="s">
        <v>1051</v>
      </c>
      <c r="B910" t="s">
        <v>1229</v>
      </c>
      <c r="C910" s="4" t="str">
        <f>IF(ISERROR(_xlfn.XMATCH(B910,oldlist!B:B,0)),"not found","found")</f>
        <v>found</v>
      </c>
    </row>
    <row r="911" spans="1:3" x14ac:dyDescent="0.5">
      <c r="A911" t="s">
        <v>1051</v>
      </c>
      <c r="B911" t="s">
        <v>1054</v>
      </c>
      <c r="C911" s="4" t="str">
        <f>IF(ISERROR(_xlfn.XMATCH(B911,oldlist!B:B,0)),"not found","found")</f>
        <v>found</v>
      </c>
    </row>
    <row r="912" spans="1:3" x14ac:dyDescent="0.5">
      <c r="A912" t="s">
        <v>1051</v>
      </c>
      <c r="B912" t="s">
        <v>1947</v>
      </c>
      <c r="C912" s="4" t="str">
        <f>IF(ISERROR(_xlfn.XMATCH(B912,oldlist!B:B,0)),"not found","found")</f>
        <v>found</v>
      </c>
    </row>
    <row r="913" spans="1:3" x14ac:dyDescent="0.5">
      <c r="A913" t="s">
        <v>1051</v>
      </c>
      <c r="B913" t="s">
        <v>2031</v>
      </c>
      <c r="C913" s="4" t="str">
        <f>IF(ISERROR(_xlfn.XMATCH(B913,oldlist!B:B,0)),"not found","found")</f>
        <v>found</v>
      </c>
    </row>
    <row r="914" spans="1:3" x14ac:dyDescent="0.5">
      <c r="A914" t="s">
        <v>1051</v>
      </c>
      <c r="B914" t="s">
        <v>1205</v>
      </c>
      <c r="C914" s="4" t="str">
        <f>IF(ISERROR(_xlfn.XMATCH(B914,oldlist!B:B,0)),"not found","found")</f>
        <v>found</v>
      </c>
    </row>
    <row r="915" spans="1:3" x14ac:dyDescent="0.5">
      <c r="A915" t="s">
        <v>1051</v>
      </c>
      <c r="B915" t="s">
        <v>1659</v>
      </c>
      <c r="C915" s="4" t="str">
        <f>IF(ISERROR(_xlfn.XMATCH(B915,oldlist!B:B,0)),"not found","found")</f>
        <v>found</v>
      </c>
    </row>
    <row r="916" spans="1:3" x14ac:dyDescent="0.5">
      <c r="A916" t="s">
        <v>1051</v>
      </c>
      <c r="B916" t="s">
        <v>2631</v>
      </c>
      <c r="C916" s="4" t="str">
        <f>IF(ISERROR(_xlfn.XMATCH(B916,oldlist!B:B,0)),"not found","found")</f>
        <v>not found</v>
      </c>
    </row>
    <row r="917" spans="1:3" x14ac:dyDescent="0.5">
      <c r="A917" t="s">
        <v>1051</v>
      </c>
      <c r="B917" t="s">
        <v>1653</v>
      </c>
      <c r="C917" s="4" t="str">
        <f>IF(ISERROR(_xlfn.XMATCH(B917,oldlist!B:B,0)),"not found","found")</f>
        <v>found</v>
      </c>
    </row>
    <row r="918" spans="1:3" x14ac:dyDescent="0.5">
      <c r="A918" t="s">
        <v>1051</v>
      </c>
      <c r="B918" t="s">
        <v>1695</v>
      </c>
      <c r="C918" s="4" t="str">
        <f>IF(ISERROR(_xlfn.XMATCH(B918,oldlist!B:B,0)),"not found","found")</f>
        <v>found</v>
      </c>
    </row>
    <row r="919" spans="1:3" x14ac:dyDescent="0.5">
      <c r="A919" t="s">
        <v>1051</v>
      </c>
      <c r="B919" t="s">
        <v>1575</v>
      </c>
      <c r="C919" s="4" t="str">
        <f>IF(ISERROR(_xlfn.XMATCH(B919,oldlist!B:B,0)),"not found","found")</f>
        <v>found</v>
      </c>
    </row>
    <row r="920" spans="1:3" x14ac:dyDescent="0.5">
      <c r="A920" t="s">
        <v>1051</v>
      </c>
      <c r="B920" t="s">
        <v>1221</v>
      </c>
      <c r="C920" s="4" t="str">
        <f>IF(ISERROR(_xlfn.XMATCH(B920,oldlist!B:B,0)),"not found","found")</f>
        <v>found</v>
      </c>
    </row>
    <row r="921" spans="1:3" x14ac:dyDescent="0.5">
      <c r="A921" t="s">
        <v>1051</v>
      </c>
      <c r="B921" t="s">
        <v>1671</v>
      </c>
      <c r="C921" s="4" t="str">
        <f>IF(ISERROR(_xlfn.XMATCH(B921,oldlist!B:B,0)),"not found","found")</f>
        <v>found</v>
      </c>
    </row>
    <row r="922" spans="1:3" x14ac:dyDescent="0.5">
      <c r="A922" t="s">
        <v>1051</v>
      </c>
      <c r="B922" t="s">
        <v>2279</v>
      </c>
      <c r="C922" s="4" t="str">
        <f>IF(ISERROR(_xlfn.XMATCH(B922,oldlist!B:B,0)),"not found","found")</f>
        <v>not found</v>
      </c>
    </row>
    <row r="923" spans="1:3" x14ac:dyDescent="0.5">
      <c r="A923" t="s">
        <v>1051</v>
      </c>
      <c r="B923" t="s">
        <v>2083</v>
      </c>
      <c r="C923" s="4" t="str">
        <f>IF(ISERROR(_xlfn.XMATCH(B923,oldlist!B:B,0)),"not found","found")</f>
        <v>found</v>
      </c>
    </row>
    <row r="924" spans="1:3" x14ac:dyDescent="0.5">
      <c r="A924" t="s">
        <v>1051</v>
      </c>
      <c r="B924" t="s">
        <v>1633</v>
      </c>
      <c r="C924" s="4" t="str">
        <f>IF(ISERROR(_xlfn.XMATCH(B924,oldlist!B:B,0)),"not found","found")</f>
        <v>found</v>
      </c>
    </row>
    <row r="925" spans="1:3" x14ac:dyDescent="0.5">
      <c r="A925" t="s">
        <v>1051</v>
      </c>
      <c r="B925" t="s">
        <v>2321</v>
      </c>
      <c r="C925" s="4" t="str">
        <f>IF(ISERROR(_xlfn.XMATCH(B925,oldlist!B:B,0)),"not found","found")</f>
        <v>not found</v>
      </c>
    </row>
    <row r="926" spans="1:3" x14ac:dyDescent="0.5">
      <c r="A926" t="s">
        <v>1051</v>
      </c>
      <c r="B926" t="s">
        <v>1467</v>
      </c>
      <c r="C926" s="4" t="str">
        <f>IF(ISERROR(_xlfn.XMATCH(B926,oldlist!B:B,0)),"not found","found")</f>
        <v>found</v>
      </c>
    </row>
    <row r="927" spans="1:3" x14ac:dyDescent="0.5">
      <c r="A927" t="s">
        <v>1051</v>
      </c>
      <c r="B927" t="s">
        <v>2383</v>
      </c>
      <c r="C927" s="4" t="str">
        <f>IF(ISERROR(_xlfn.XMATCH(B927,oldlist!B:B,0)),"not found","found")</f>
        <v>not found</v>
      </c>
    </row>
    <row r="928" spans="1:3" x14ac:dyDescent="0.5">
      <c r="A928" t="s">
        <v>1051</v>
      </c>
      <c r="B928" t="s">
        <v>2233</v>
      </c>
      <c r="C928" s="4" t="str">
        <f>IF(ISERROR(_xlfn.XMATCH(B928,oldlist!B:B,0)),"not found","found")</f>
        <v>found</v>
      </c>
    </row>
    <row r="929" spans="1:3" x14ac:dyDescent="0.5">
      <c r="A929" t="s">
        <v>1051</v>
      </c>
      <c r="B929" t="s">
        <v>1889</v>
      </c>
      <c r="C929" s="4" t="str">
        <f>IF(ISERROR(_xlfn.XMATCH(B929,oldlist!B:B,0)),"not found","found")</f>
        <v>found</v>
      </c>
    </row>
    <row r="930" spans="1:3" x14ac:dyDescent="0.5">
      <c r="A930" t="s">
        <v>1051</v>
      </c>
      <c r="B930" t="s">
        <v>2429</v>
      </c>
      <c r="C930" s="4" t="str">
        <f>IF(ISERROR(_xlfn.XMATCH(B930,oldlist!B:B,0)),"not found","found")</f>
        <v>not found</v>
      </c>
    </row>
    <row r="931" spans="1:3" x14ac:dyDescent="0.5">
      <c r="A931" t="s">
        <v>1051</v>
      </c>
      <c r="B931" t="s">
        <v>1979</v>
      </c>
      <c r="C931" s="4" t="str">
        <f>IF(ISERROR(_xlfn.XMATCH(B931,oldlist!B:B,0)),"not found","found")</f>
        <v>found</v>
      </c>
    </row>
    <row r="932" spans="1:3" x14ac:dyDescent="0.5">
      <c r="A932" t="s">
        <v>1051</v>
      </c>
      <c r="B932" t="s">
        <v>2179</v>
      </c>
      <c r="C932" s="4" t="str">
        <f>IF(ISERROR(_xlfn.XMATCH(B932,oldlist!B:B,0)),"not found","found")</f>
        <v>not found</v>
      </c>
    </row>
    <row r="933" spans="1:3" x14ac:dyDescent="0.5">
      <c r="A933" t="s">
        <v>1051</v>
      </c>
      <c r="B933" t="s">
        <v>2613</v>
      </c>
      <c r="C933" s="4" t="str">
        <f>IF(ISERROR(_xlfn.XMATCH(B933,oldlist!B:B,0)),"not found","found")</f>
        <v>not found</v>
      </c>
    </row>
    <row r="934" spans="1:3" x14ac:dyDescent="0.5">
      <c r="A934" t="s">
        <v>1051</v>
      </c>
      <c r="B934" t="s">
        <v>1463</v>
      </c>
      <c r="C934" s="4" t="str">
        <f>IF(ISERROR(_xlfn.XMATCH(B934,oldlist!B:B,0)),"not found","found")</f>
        <v>found</v>
      </c>
    </row>
    <row r="935" spans="1:3" x14ac:dyDescent="0.5">
      <c r="A935" t="s">
        <v>1051</v>
      </c>
      <c r="B935" t="s">
        <v>2623</v>
      </c>
      <c r="C935" s="4" t="str">
        <f>IF(ISERROR(_xlfn.XMATCH(B935,oldlist!B:B,0)),"not found","found")</f>
        <v>not found</v>
      </c>
    </row>
    <row r="936" spans="1:3" x14ac:dyDescent="0.5">
      <c r="A936" t="s">
        <v>1051</v>
      </c>
      <c r="B936" t="s">
        <v>2621</v>
      </c>
      <c r="C936" s="4" t="str">
        <f>IF(ISERROR(_xlfn.XMATCH(B936,oldlist!B:B,0)),"not found","found")</f>
        <v>not found</v>
      </c>
    </row>
    <row r="937" spans="1:3" x14ac:dyDescent="0.5">
      <c r="A937" t="s">
        <v>1051</v>
      </c>
      <c r="B937" t="s">
        <v>1315</v>
      </c>
      <c r="C937" s="4" t="str">
        <f>IF(ISERROR(_xlfn.XMATCH(B937,oldlist!B:B,0)),"not found","found")</f>
        <v>found</v>
      </c>
    </row>
    <row r="938" spans="1:3" x14ac:dyDescent="0.5">
      <c r="A938" t="s">
        <v>1051</v>
      </c>
      <c r="B938" t="s">
        <v>2173</v>
      </c>
      <c r="C938" s="4" t="str">
        <f>IF(ISERROR(_xlfn.XMATCH(B938,oldlist!B:B,0)),"not found","found")</f>
        <v>found</v>
      </c>
    </row>
    <row r="939" spans="1:3" x14ac:dyDescent="0.5">
      <c r="A939" t="s">
        <v>1051</v>
      </c>
      <c r="B939" t="s">
        <v>2155</v>
      </c>
      <c r="C939" s="4" t="str">
        <f>IF(ISERROR(_xlfn.XMATCH(B939,oldlist!B:B,0)),"not found","found")</f>
        <v>found</v>
      </c>
    </row>
    <row r="940" spans="1:3" x14ac:dyDescent="0.5">
      <c r="A940" t="s">
        <v>1051</v>
      </c>
      <c r="B940" t="s">
        <v>2593</v>
      </c>
      <c r="C940" s="4" t="str">
        <f>IF(ISERROR(_xlfn.XMATCH(B940,oldlist!B:B,0)),"not found","found")</f>
        <v>not found</v>
      </c>
    </row>
    <row r="941" spans="1:3" x14ac:dyDescent="0.5">
      <c r="A941" t="s">
        <v>1051</v>
      </c>
      <c r="B941" t="s">
        <v>2543</v>
      </c>
      <c r="C941" s="4" t="str">
        <f>IF(ISERROR(_xlfn.XMATCH(B941,oldlist!B:B,0)),"not found","found")</f>
        <v>not found</v>
      </c>
    </row>
    <row r="942" spans="1:3" x14ac:dyDescent="0.5">
      <c r="A942" t="s">
        <v>1051</v>
      </c>
      <c r="B942" t="s">
        <v>1251</v>
      </c>
      <c r="C942" s="4" t="str">
        <f>IF(ISERROR(_xlfn.XMATCH(B942,oldlist!B:B,0)),"not found","found")</f>
        <v>found</v>
      </c>
    </row>
    <row r="943" spans="1:3" x14ac:dyDescent="0.5">
      <c r="A943" t="s">
        <v>1051</v>
      </c>
      <c r="B943" t="s">
        <v>1081</v>
      </c>
      <c r="C943" s="4" t="str">
        <f>IF(ISERROR(_xlfn.XMATCH(B943,oldlist!B:B,0)),"not found","found")</f>
        <v>found</v>
      </c>
    </row>
    <row r="944" spans="1:3" x14ac:dyDescent="0.5">
      <c r="A944" t="s">
        <v>1051</v>
      </c>
      <c r="B944" t="s">
        <v>2783</v>
      </c>
      <c r="C944" s="4" t="str">
        <f>IF(ISERROR(_xlfn.XMATCH(B944,oldlist!B:B,0)),"not found","found")</f>
        <v>not found</v>
      </c>
    </row>
    <row r="945" spans="1:3" x14ac:dyDescent="0.5">
      <c r="A945" t="s">
        <v>1051</v>
      </c>
      <c r="B945" t="s">
        <v>2027</v>
      </c>
      <c r="C945" s="4" t="str">
        <f>IF(ISERROR(_xlfn.XMATCH(B945,oldlist!B:B,0)),"not found","found")</f>
        <v>found</v>
      </c>
    </row>
    <row r="946" spans="1:3" x14ac:dyDescent="0.5">
      <c r="A946" t="s">
        <v>1051</v>
      </c>
      <c r="B946" t="s">
        <v>1393</v>
      </c>
      <c r="C946" s="4" t="str">
        <f>IF(ISERROR(_xlfn.XMATCH(B946,oldlist!B:B,0)),"not found","found")</f>
        <v>found</v>
      </c>
    </row>
    <row r="947" spans="1:3" x14ac:dyDescent="0.5">
      <c r="A947" t="s">
        <v>1051</v>
      </c>
      <c r="B947" t="s">
        <v>1537</v>
      </c>
      <c r="C947" s="4" t="str">
        <f>IF(ISERROR(_xlfn.XMATCH(B947,oldlist!B:B,0)),"not found","found")</f>
        <v>found</v>
      </c>
    </row>
    <row r="948" spans="1:3" x14ac:dyDescent="0.5">
      <c r="A948" t="s">
        <v>1051</v>
      </c>
      <c r="B948" t="s">
        <v>2111</v>
      </c>
      <c r="C948" s="4" t="str">
        <f>IF(ISERROR(_xlfn.XMATCH(B948,oldlist!B:B,0)),"not found","found")</f>
        <v>found</v>
      </c>
    </row>
    <row r="949" spans="1:3" x14ac:dyDescent="0.5">
      <c r="A949" t="s">
        <v>1051</v>
      </c>
      <c r="B949" t="s">
        <v>1173</v>
      </c>
      <c r="C949" s="4" t="str">
        <f>IF(ISERROR(_xlfn.XMATCH(B949,oldlist!B:B,0)),"not found","found")</f>
        <v>found</v>
      </c>
    </row>
    <row r="950" spans="1:3" x14ac:dyDescent="0.5">
      <c r="A950" t="s">
        <v>1051</v>
      </c>
      <c r="B950" t="s">
        <v>1839</v>
      </c>
      <c r="C950" s="4" t="str">
        <f>IF(ISERROR(_xlfn.XMATCH(B950,oldlist!B:B,0)),"not found","found")</f>
        <v>found</v>
      </c>
    </row>
    <row r="951" spans="1:3" x14ac:dyDescent="0.5">
      <c r="A951" t="s">
        <v>1051</v>
      </c>
      <c r="B951" t="s">
        <v>2457</v>
      </c>
      <c r="C951" s="4" t="str">
        <f>IF(ISERROR(_xlfn.XMATCH(B951,oldlist!B:B,0)),"not found","found")</f>
        <v>not found</v>
      </c>
    </row>
    <row r="952" spans="1:3" x14ac:dyDescent="0.5">
      <c r="A952" t="s">
        <v>1051</v>
      </c>
      <c r="B952" t="s">
        <v>2061</v>
      </c>
      <c r="C952" s="4" t="str">
        <f>IF(ISERROR(_xlfn.XMATCH(B952,oldlist!B:B,0)),"not found","found")</f>
        <v>found</v>
      </c>
    </row>
    <row r="953" spans="1:3" x14ac:dyDescent="0.5">
      <c r="A953" t="s">
        <v>1051</v>
      </c>
      <c r="B953" t="s">
        <v>1807</v>
      </c>
      <c r="C953" s="4" t="str">
        <f>IF(ISERROR(_xlfn.XMATCH(B953,oldlist!B:B,0)),"not found","found")</f>
        <v>found</v>
      </c>
    </row>
    <row r="954" spans="1:3" x14ac:dyDescent="0.5">
      <c r="A954" t="s">
        <v>1051</v>
      </c>
      <c r="B954" t="s">
        <v>1087</v>
      </c>
      <c r="C954" s="4" t="str">
        <f>IF(ISERROR(_xlfn.XMATCH(B954,oldlist!B:B,0)),"not found","found")</f>
        <v>found</v>
      </c>
    </row>
    <row r="955" spans="1:3" x14ac:dyDescent="0.5">
      <c r="A955" t="s">
        <v>1051</v>
      </c>
      <c r="B955" t="s">
        <v>1675</v>
      </c>
      <c r="C955" s="4" t="str">
        <f>IF(ISERROR(_xlfn.XMATCH(B955,oldlist!B:B,0)),"not found","found")</f>
        <v>found</v>
      </c>
    </row>
    <row r="956" spans="1:3" x14ac:dyDescent="0.5">
      <c r="A956" t="s">
        <v>1051</v>
      </c>
      <c r="B956" t="s">
        <v>2153</v>
      </c>
      <c r="C956" s="4" t="str">
        <f>IF(ISERROR(_xlfn.XMATCH(B956,oldlist!B:B,0)),"not found","found")</f>
        <v>found</v>
      </c>
    </row>
    <row r="957" spans="1:3" x14ac:dyDescent="0.5">
      <c r="A957" t="s">
        <v>1051</v>
      </c>
      <c r="B957" t="s">
        <v>2681</v>
      </c>
      <c r="C957" s="4" t="str">
        <f>IF(ISERROR(_xlfn.XMATCH(B957,oldlist!B:B,0)),"not found","found")</f>
        <v>not found</v>
      </c>
    </row>
    <row r="958" spans="1:3" x14ac:dyDescent="0.5">
      <c r="A958" t="s">
        <v>1051</v>
      </c>
      <c r="B958" t="s">
        <v>1571</v>
      </c>
      <c r="C958" s="4" t="str">
        <f>IF(ISERROR(_xlfn.XMATCH(B958,oldlist!B:B,0)),"not found","found")</f>
        <v>found</v>
      </c>
    </row>
    <row r="959" spans="1:3" x14ac:dyDescent="0.5">
      <c r="A959" t="s">
        <v>1051</v>
      </c>
      <c r="B959" t="s">
        <v>2035</v>
      </c>
      <c r="C959" s="4" t="str">
        <f>IF(ISERROR(_xlfn.XMATCH(B959,oldlist!B:B,0)),"not found","found")</f>
        <v>found</v>
      </c>
    </row>
    <row r="960" spans="1:3" x14ac:dyDescent="0.5">
      <c r="A960" t="s">
        <v>1051</v>
      </c>
      <c r="B960" t="s">
        <v>2015</v>
      </c>
      <c r="C960" s="4" t="str">
        <f>IF(ISERROR(_xlfn.XMATCH(B960,oldlist!B:B,0)),"not found","found")</f>
        <v>found</v>
      </c>
    </row>
    <row r="961" spans="1:3" x14ac:dyDescent="0.5">
      <c r="A961" t="s">
        <v>1051</v>
      </c>
      <c r="B961" t="s">
        <v>2081</v>
      </c>
      <c r="C961" s="4" t="str">
        <f>IF(ISERROR(_xlfn.XMATCH(B961,oldlist!B:B,0)),"not found","found")</f>
        <v>found</v>
      </c>
    </row>
    <row r="962" spans="1:3" x14ac:dyDescent="0.5">
      <c r="A962" t="s">
        <v>1051</v>
      </c>
      <c r="B962" t="s">
        <v>2447</v>
      </c>
      <c r="C962" s="4" t="str">
        <f>IF(ISERROR(_xlfn.XMATCH(B962,oldlist!B:B,0)),"not found","found")</f>
        <v>not found</v>
      </c>
    </row>
    <row r="963" spans="1:3" x14ac:dyDescent="0.5">
      <c r="A963" t="s">
        <v>1051</v>
      </c>
      <c r="B963" t="s">
        <v>2687</v>
      </c>
      <c r="C963" s="4" t="str">
        <f>IF(ISERROR(_xlfn.XMATCH(B963,oldlist!B:B,0)),"not found","found")</f>
        <v>not found</v>
      </c>
    </row>
    <row r="964" spans="1:3" x14ac:dyDescent="0.5">
      <c r="A964" t="s">
        <v>1051</v>
      </c>
      <c r="B964" t="s">
        <v>1343</v>
      </c>
      <c r="C964" s="4" t="str">
        <f>IF(ISERROR(_xlfn.XMATCH(B964,oldlist!B:B,0)),"not found","found")</f>
        <v>found</v>
      </c>
    </row>
    <row r="965" spans="1:3" x14ac:dyDescent="0.5">
      <c r="A965" t="s">
        <v>1051</v>
      </c>
      <c r="B965" t="s">
        <v>1699</v>
      </c>
      <c r="C965" s="4" t="str">
        <f>IF(ISERROR(_xlfn.XMATCH(B965,oldlist!B:B,0)),"not found","found")</f>
        <v>found</v>
      </c>
    </row>
    <row r="966" spans="1:3" x14ac:dyDescent="0.5">
      <c r="A966" t="s">
        <v>1051</v>
      </c>
      <c r="B966" t="s">
        <v>2097</v>
      </c>
      <c r="C966" s="4" t="str">
        <f>IF(ISERROR(_xlfn.XMATCH(B966,oldlist!B:B,0)),"not found","found")</f>
        <v>found</v>
      </c>
    </row>
    <row r="967" spans="1:3" x14ac:dyDescent="0.5">
      <c r="A967" t="s">
        <v>1051</v>
      </c>
      <c r="B967" t="s">
        <v>2133</v>
      </c>
      <c r="C967" s="4" t="str">
        <f>IF(ISERROR(_xlfn.XMATCH(B967,oldlist!B:B,0)),"not found","found")</f>
        <v>not found</v>
      </c>
    </row>
    <row r="968" spans="1:3" x14ac:dyDescent="0.5">
      <c r="A968" t="s">
        <v>1051</v>
      </c>
      <c r="B968" t="s">
        <v>2283</v>
      </c>
      <c r="C968" s="4" t="str">
        <f>IF(ISERROR(_xlfn.XMATCH(B968,oldlist!B:B,0)),"not found","found")</f>
        <v>found</v>
      </c>
    </row>
    <row r="969" spans="1:3" x14ac:dyDescent="0.5">
      <c r="A969" t="s">
        <v>1051</v>
      </c>
      <c r="B969" t="s">
        <v>1775</v>
      </c>
      <c r="C969" s="4" t="str">
        <f>IF(ISERROR(_xlfn.XMATCH(B969,oldlist!B:B,0)),"not found","found")</f>
        <v>found</v>
      </c>
    </row>
    <row r="970" spans="1:3" x14ac:dyDescent="0.5">
      <c r="A970" t="s">
        <v>1051</v>
      </c>
      <c r="B970" t="s">
        <v>1879</v>
      </c>
      <c r="C970" s="4" t="str">
        <f>IF(ISERROR(_xlfn.XMATCH(B970,oldlist!B:B,0)),"not found","found")</f>
        <v>found</v>
      </c>
    </row>
    <row r="971" spans="1:3" x14ac:dyDescent="0.5">
      <c r="A971" t="s">
        <v>1051</v>
      </c>
      <c r="B971" t="s">
        <v>2491</v>
      </c>
      <c r="C971" s="4" t="str">
        <f>IF(ISERROR(_xlfn.XMATCH(B971,oldlist!B:B,0)),"not found","found")</f>
        <v>found</v>
      </c>
    </row>
    <row r="972" spans="1:3" x14ac:dyDescent="0.5">
      <c r="A972" t="s">
        <v>1051</v>
      </c>
      <c r="B972" t="s">
        <v>2287</v>
      </c>
      <c r="C972" s="4" t="str">
        <f>IF(ISERROR(_xlfn.XMATCH(B972,oldlist!B:B,0)),"not found","found")</f>
        <v>found</v>
      </c>
    </row>
    <row r="973" spans="1:3" x14ac:dyDescent="0.5">
      <c r="A973" t="s">
        <v>1051</v>
      </c>
      <c r="B973" t="s">
        <v>1419</v>
      </c>
      <c r="C973" s="4" t="str">
        <f>IF(ISERROR(_xlfn.XMATCH(B973,oldlist!B:B,0)),"not found","found")</f>
        <v>found</v>
      </c>
    </row>
    <row r="974" spans="1:3" x14ac:dyDescent="0.5">
      <c r="A974" t="s">
        <v>1051</v>
      </c>
      <c r="B974" t="s">
        <v>1469</v>
      </c>
      <c r="C974" s="4" t="str">
        <f>IF(ISERROR(_xlfn.XMATCH(B974,oldlist!B:B,0)),"not found","found")</f>
        <v>found</v>
      </c>
    </row>
    <row r="975" spans="1:3" x14ac:dyDescent="0.5">
      <c r="A975" t="s">
        <v>1051</v>
      </c>
      <c r="B975" t="s">
        <v>2555</v>
      </c>
      <c r="C975" s="4" t="str">
        <f>IF(ISERROR(_xlfn.XMATCH(B975,oldlist!B:B,0)),"not found","found")</f>
        <v>found</v>
      </c>
    </row>
    <row r="976" spans="1:3" x14ac:dyDescent="0.5">
      <c r="A976" t="s">
        <v>1051</v>
      </c>
      <c r="B976" t="s">
        <v>1339</v>
      </c>
      <c r="C976" s="4" t="str">
        <f>IF(ISERROR(_xlfn.XMATCH(B976,oldlist!B:B,0)),"not found","found")</f>
        <v>found</v>
      </c>
    </row>
    <row r="977" spans="1:3" x14ac:dyDescent="0.5">
      <c r="A977" t="s">
        <v>1051</v>
      </c>
      <c r="B977" t="s">
        <v>2019</v>
      </c>
      <c r="C977" s="4" t="str">
        <f>IF(ISERROR(_xlfn.XMATCH(B977,oldlist!B:B,0)),"not found","found")</f>
        <v>found</v>
      </c>
    </row>
    <row r="978" spans="1:3" x14ac:dyDescent="0.5">
      <c r="A978" t="s">
        <v>1051</v>
      </c>
      <c r="B978" t="s">
        <v>2355</v>
      </c>
      <c r="C978" s="4" t="str">
        <f>IF(ISERROR(_xlfn.XMATCH(B978,oldlist!B:B,0)),"not found","found")</f>
        <v>not found</v>
      </c>
    </row>
    <row r="979" spans="1:3" x14ac:dyDescent="0.5">
      <c r="A979" t="s">
        <v>1051</v>
      </c>
      <c r="B979" t="s">
        <v>2443</v>
      </c>
      <c r="C979" s="4" t="str">
        <f>IF(ISERROR(_xlfn.XMATCH(B979,oldlist!B:B,0)),"not found","found")</f>
        <v>found</v>
      </c>
    </row>
    <row r="980" spans="1:3" x14ac:dyDescent="0.5">
      <c r="A980" t="s">
        <v>1051</v>
      </c>
      <c r="B980" t="s">
        <v>2303</v>
      </c>
      <c r="C980" s="4" t="str">
        <f>IF(ISERROR(_xlfn.XMATCH(B980,oldlist!B:B,0)),"not found","found")</f>
        <v>not found</v>
      </c>
    </row>
    <row r="981" spans="1:3" x14ac:dyDescent="0.5">
      <c r="A981" t="s">
        <v>1051</v>
      </c>
      <c r="B981" t="s">
        <v>1399</v>
      </c>
      <c r="C981" s="4" t="str">
        <f>IF(ISERROR(_xlfn.XMATCH(B981,oldlist!B:B,0)),"not found","found")</f>
        <v>found</v>
      </c>
    </row>
    <row r="982" spans="1:3" x14ac:dyDescent="0.5">
      <c r="A982" t="s">
        <v>1051</v>
      </c>
      <c r="B982" t="s">
        <v>2713</v>
      </c>
      <c r="C982" s="4" t="str">
        <f>IF(ISERROR(_xlfn.XMATCH(B982,oldlist!B:B,0)),"not found","found")</f>
        <v>not found</v>
      </c>
    </row>
    <row r="983" spans="1:3" x14ac:dyDescent="0.5">
      <c r="A983" t="s">
        <v>1051</v>
      </c>
      <c r="B983" t="s">
        <v>1197</v>
      </c>
      <c r="C983" s="4" t="str">
        <f>IF(ISERROR(_xlfn.XMATCH(B983,oldlist!B:B,0)),"not found","found")</f>
        <v>found</v>
      </c>
    </row>
    <row r="984" spans="1:3" x14ac:dyDescent="0.5">
      <c r="A984" t="s">
        <v>1051</v>
      </c>
      <c r="B984" t="s">
        <v>1959</v>
      </c>
      <c r="C984" s="4" t="str">
        <f>IF(ISERROR(_xlfn.XMATCH(B984,oldlist!B:B,0)),"not found","found")</f>
        <v>found</v>
      </c>
    </row>
    <row r="985" spans="1:3" x14ac:dyDescent="0.5">
      <c r="A985" t="s">
        <v>1051</v>
      </c>
      <c r="B985" t="s">
        <v>2395</v>
      </c>
      <c r="C985" s="4" t="str">
        <f>IF(ISERROR(_xlfn.XMATCH(B985,oldlist!B:B,0)),"not found","found")</f>
        <v>found</v>
      </c>
    </row>
    <row r="986" spans="1:3" x14ac:dyDescent="0.5">
      <c r="A986" t="s">
        <v>1051</v>
      </c>
      <c r="B986" t="s">
        <v>1871</v>
      </c>
      <c r="C986" s="4" t="str">
        <f>IF(ISERROR(_xlfn.XMATCH(B986,oldlist!B:B,0)),"not found","found")</f>
        <v>found</v>
      </c>
    </row>
    <row r="987" spans="1:3" x14ac:dyDescent="0.5">
      <c r="A987" t="s">
        <v>1051</v>
      </c>
      <c r="B987" t="s">
        <v>1739</v>
      </c>
      <c r="C987" s="4" t="str">
        <f>IF(ISERROR(_xlfn.XMATCH(B987,oldlist!B:B,0)),"not found","found")</f>
        <v>found</v>
      </c>
    </row>
    <row r="988" spans="1:3" x14ac:dyDescent="0.5">
      <c r="A988" t="s">
        <v>1051</v>
      </c>
      <c r="B988" t="s">
        <v>1157</v>
      </c>
      <c r="C988" s="4" t="str">
        <f>IF(ISERROR(_xlfn.XMATCH(B988,oldlist!B:B,0)),"not found","found")</f>
        <v>found</v>
      </c>
    </row>
    <row r="989" spans="1:3" x14ac:dyDescent="0.5">
      <c r="A989" t="s">
        <v>1051</v>
      </c>
      <c r="B989" t="s">
        <v>2361</v>
      </c>
      <c r="C989" s="4" t="str">
        <f>IF(ISERROR(_xlfn.XMATCH(B989,oldlist!B:B,0)),"not found","found")</f>
        <v>found</v>
      </c>
    </row>
    <row r="990" spans="1:3" x14ac:dyDescent="0.5">
      <c r="A990" t="s">
        <v>1051</v>
      </c>
      <c r="B990" t="s">
        <v>1723</v>
      </c>
      <c r="C990" s="4" t="str">
        <f>IF(ISERROR(_xlfn.XMATCH(B990,oldlist!B:B,0)),"not found","found")</f>
        <v>found</v>
      </c>
    </row>
    <row r="991" spans="1:3" x14ac:dyDescent="0.5">
      <c r="A991" t="s">
        <v>1051</v>
      </c>
      <c r="B991" t="s">
        <v>1371</v>
      </c>
      <c r="C991" s="4" t="str">
        <f>IF(ISERROR(_xlfn.XMATCH(B991,oldlist!B:B,0)),"not found","found")</f>
        <v>found</v>
      </c>
    </row>
    <row r="992" spans="1:3" x14ac:dyDescent="0.5">
      <c r="A992" t="s">
        <v>1051</v>
      </c>
      <c r="B992" t="s">
        <v>1133</v>
      </c>
      <c r="C992" s="4" t="str">
        <f>IF(ISERROR(_xlfn.XMATCH(B992,oldlist!B:B,0)),"not found","found")</f>
        <v>found</v>
      </c>
    </row>
    <row r="993" spans="1:3" x14ac:dyDescent="0.5">
      <c r="A993" t="s">
        <v>1051</v>
      </c>
      <c r="B993" t="s">
        <v>1461</v>
      </c>
      <c r="C993" s="4" t="str">
        <f>IF(ISERROR(_xlfn.XMATCH(B993,oldlist!B:B,0)),"not found","found")</f>
        <v>found</v>
      </c>
    </row>
    <row r="994" spans="1:3" x14ac:dyDescent="0.5">
      <c r="A994" t="s">
        <v>1051</v>
      </c>
      <c r="B994" t="s">
        <v>1521</v>
      </c>
      <c r="C994" s="4" t="str">
        <f>IF(ISERROR(_xlfn.XMATCH(B994,oldlist!B:B,0)),"not found","found")</f>
        <v>found</v>
      </c>
    </row>
    <row r="995" spans="1:3" x14ac:dyDescent="0.5">
      <c r="A995" t="s">
        <v>1051</v>
      </c>
      <c r="B995" t="s">
        <v>1931</v>
      </c>
      <c r="C995" s="4" t="str">
        <f>IF(ISERROR(_xlfn.XMATCH(B995,oldlist!B:B,0)),"not found","found")</f>
        <v>found</v>
      </c>
    </row>
    <row r="996" spans="1:3" x14ac:dyDescent="0.5">
      <c r="A996" t="s">
        <v>1051</v>
      </c>
      <c r="B996" t="s">
        <v>1923</v>
      </c>
      <c r="C996" s="4" t="str">
        <f>IF(ISERROR(_xlfn.XMATCH(B996,oldlist!B:B,0)),"not found","found")</f>
        <v>found</v>
      </c>
    </row>
    <row r="997" spans="1:3" x14ac:dyDescent="0.5">
      <c r="A997" t="s">
        <v>1051</v>
      </c>
      <c r="B997" t="s">
        <v>2029</v>
      </c>
      <c r="C997" s="4" t="str">
        <f>IF(ISERROR(_xlfn.XMATCH(B997,oldlist!B:B,0)),"not found","found")</f>
        <v>found</v>
      </c>
    </row>
    <row r="998" spans="1:3" x14ac:dyDescent="0.5">
      <c r="A998" t="s">
        <v>1051</v>
      </c>
      <c r="B998" t="s">
        <v>1795</v>
      </c>
      <c r="C998" s="4" t="str">
        <f>IF(ISERROR(_xlfn.XMATCH(B998,oldlist!B:B,0)),"not found","found")</f>
        <v>found</v>
      </c>
    </row>
    <row r="999" spans="1:3" x14ac:dyDescent="0.5">
      <c r="A999" t="s">
        <v>1051</v>
      </c>
      <c r="B999" t="s">
        <v>2101</v>
      </c>
      <c r="C999" s="4" t="str">
        <f>IF(ISERROR(_xlfn.XMATCH(B999,oldlist!B:B,0)),"not found","found")</f>
        <v>found</v>
      </c>
    </row>
    <row r="1000" spans="1:3" x14ac:dyDescent="0.5">
      <c r="A1000" t="s">
        <v>1051</v>
      </c>
      <c r="B1000" t="s">
        <v>2251</v>
      </c>
      <c r="C1000" s="4" t="str">
        <f>IF(ISERROR(_xlfn.XMATCH(B1000,oldlist!B:B,0)),"not found","found")</f>
        <v>found</v>
      </c>
    </row>
    <row r="1001" spans="1:3" x14ac:dyDescent="0.5">
      <c r="A1001" t="s">
        <v>1051</v>
      </c>
      <c r="B1001" t="s">
        <v>2109</v>
      </c>
      <c r="C1001" s="4" t="str">
        <f>IF(ISERROR(_xlfn.XMATCH(B1001,oldlist!B:B,0)),"not found","found")</f>
        <v>found</v>
      </c>
    </row>
    <row r="1002" spans="1:3" x14ac:dyDescent="0.5">
      <c r="A1002" t="s">
        <v>1051</v>
      </c>
      <c r="B1002" t="s">
        <v>2241</v>
      </c>
      <c r="C1002" s="4" t="str">
        <f>IF(ISERROR(_xlfn.XMATCH(B1002,oldlist!B:B,0)),"not found","found")</f>
        <v>found</v>
      </c>
    </row>
    <row r="1003" spans="1:3" x14ac:dyDescent="0.5">
      <c r="A1003" t="s">
        <v>1051</v>
      </c>
      <c r="B1003" t="s">
        <v>2085</v>
      </c>
      <c r="C1003" s="4" t="str">
        <f>IF(ISERROR(_xlfn.XMATCH(B1003,oldlist!B:B,0)),"not found","found")</f>
        <v>found</v>
      </c>
    </row>
    <row r="1004" spans="1:3" x14ac:dyDescent="0.5">
      <c r="A1004" t="s">
        <v>1051</v>
      </c>
      <c r="B1004" t="s">
        <v>2657</v>
      </c>
      <c r="C1004" s="4" t="str">
        <f>IF(ISERROR(_xlfn.XMATCH(B1004,oldlist!B:B,0)),"not found","found")</f>
        <v>found</v>
      </c>
    </row>
    <row r="1005" spans="1:3" x14ac:dyDescent="0.5">
      <c r="A1005" t="s">
        <v>1051</v>
      </c>
      <c r="B1005" t="s">
        <v>2699</v>
      </c>
      <c r="C1005" s="4" t="str">
        <f>IF(ISERROR(_xlfn.XMATCH(B1005,oldlist!B:B,0)),"not found","found")</f>
        <v>found</v>
      </c>
    </row>
    <row r="1006" spans="1:3" x14ac:dyDescent="0.5">
      <c r="A1006" t="s">
        <v>1051</v>
      </c>
      <c r="B1006" t="s">
        <v>1145</v>
      </c>
      <c r="C1006" s="4" t="str">
        <f>IF(ISERROR(_xlfn.XMATCH(B1006,oldlist!B:B,0)),"not found","found")</f>
        <v>found</v>
      </c>
    </row>
    <row r="1007" spans="1:3" x14ac:dyDescent="0.5">
      <c r="A1007" t="s">
        <v>1051</v>
      </c>
      <c r="B1007" t="s">
        <v>2377</v>
      </c>
      <c r="C1007" s="4" t="str">
        <f>IF(ISERROR(_xlfn.XMATCH(B1007,oldlist!B:B,0)),"not found","found")</f>
        <v>found</v>
      </c>
    </row>
    <row r="1008" spans="1:3" x14ac:dyDescent="0.5">
      <c r="A1008" t="s">
        <v>1051</v>
      </c>
      <c r="B1008" t="s">
        <v>1783</v>
      </c>
      <c r="C1008" s="4" t="str">
        <f>IF(ISERROR(_xlfn.XMATCH(B1008,oldlist!B:B,0)),"not found","found")</f>
        <v>found</v>
      </c>
    </row>
    <row r="1009" spans="1:3" x14ac:dyDescent="0.5">
      <c r="A1009" t="s">
        <v>1051</v>
      </c>
      <c r="B1009" t="s">
        <v>1691</v>
      </c>
      <c r="C1009" s="4" t="str">
        <f>IF(ISERROR(_xlfn.XMATCH(B1009,oldlist!B:B,0)),"not found","found")</f>
        <v>found</v>
      </c>
    </row>
    <row r="1010" spans="1:3" x14ac:dyDescent="0.5">
      <c r="A1010" t="s">
        <v>1051</v>
      </c>
      <c r="B1010" t="s">
        <v>1555</v>
      </c>
      <c r="C1010" s="4" t="str">
        <f>IF(ISERROR(_xlfn.XMATCH(B1010,oldlist!B:B,0)),"not found","found")</f>
        <v>found</v>
      </c>
    </row>
    <row r="1011" spans="1:3" x14ac:dyDescent="0.5">
      <c r="A1011" t="s">
        <v>1051</v>
      </c>
      <c r="B1011" t="s">
        <v>1351</v>
      </c>
      <c r="C1011" s="4" t="str">
        <f>IF(ISERROR(_xlfn.XMATCH(B1011,oldlist!B:B,0)),"not found","found")</f>
        <v>found</v>
      </c>
    </row>
    <row r="1012" spans="1:3" x14ac:dyDescent="0.5">
      <c r="A1012" t="s">
        <v>1051</v>
      </c>
      <c r="B1012" t="s">
        <v>1249</v>
      </c>
      <c r="C1012" s="4" t="str">
        <f>IF(ISERROR(_xlfn.XMATCH(B1012,oldlist!B:B,0)),"not found","found")</f>
        <v>found</v>
      </c>
    </row>
    <row r="1013" spans="1:3" x14ac:dyDescent="0.5">
      <c r="A1013" t="s">
        <v>1051</v>
      </c>
      <c r="B1013" t="s">
        <v>2501</v>
      </c>
      <c r="C1013" s="4" t="str">
        <f>IF(ISERROR(_xlfn.XMATCH(B1013,oldlist!B:B,0)),"not found","found")</f>
        <v>found</v>
      </c>
    </row>
    <row r="1014" spans="1:3" x14ac:dyDescent="0.5">
      <c r="A1014" t="s">
        <v>1051</v>
      </c>
      <c r="B1014" t="s">
        <v>2587</v>
      </c>
      <c r="C1014" s="4" t="str">
        <f>IF(ISERROR(_xlfn.XMATCH(B1014,oldlist!B:B,0)),"not found","found")</f>
        <v>not found</v>
      </c>
    </row>
    <row r="1015" spans="1:3" x14ac:dyDescent="0.5">
      <c r="A1015" t="s">
        <v>1051</v>
      </c>
      <c r="B1015" t="s">
        <v>2665</v>
      </c>
      <c r="C1015" s="4" t="str">
        <f>IF(ISERROR(_xlfn.XMATCH(B1015,oldlist!B:B,0)),"not found","found")</f>
        <v>not found</v>
      </c>
    </row>
    <row r="1016" spans="1:3" x14ac:dyDescent="0.5">
      <c r="A1016" t="s">
        <v>1051</v>
      </c>
      <c r="B1016" t="s">
        <v>1089</v>
      </c>
      <c r="C1016" s="4" t="str">
        <f>IF(ISERROR(_xlfn.XMATCH(B1016,oldlist!B:B,0)),"not found","found")</f>
        <v>found</v>
      </c>
    </row>
    <row r="1017" spans="1:3" x14ac:dyDescent="0.5">
      <c r="A1017" t="s">
        <v>1051</v>
      </c>
      <c r="B1017" t="s">
        <v>2577</v>
      </c>
      <c r="C1017" s="4" t="str">
        <f>IF(ISERROR(_xlfn.XMATCH(B1017,oldlist!B:B,0)),"not found","found")</f>
        <v>found</v>
      </c>
    </row>
    <row r="1018" spans="1:3" x14ac:dyDescent="0.5">
      <c r="A1018" t="s">
        <v>1051</v>
      </c>
      <c r="B1018" t="s">
        <v>2765</v>
      </c>
      <c r="C1018" s="4" t="str">
        <f>IF(ISERROR(_xlfn.XMATCH(B1018,oldlist!B:B,0)),"not found","found")</f>
        <v>not found</v>
      </c>
    </row>
    <row r="1019" spans="1:3" x14ac:dyDescent="0.5">
      <c r="A1019" t="s">
        <v>1051</v>
      </c>
      <c r="B1019" t="s">
        <v>2295</v>
      </c>
      <c r="C1019" s="4" t="str">
        <f>IF(ISERROR(_xlfn.XMATCH(B1019,oldlist!B:B,0)),"not found","found")</f>
        <v>not found</v>
      </c>
    </row>
    <row r="1020" spans="1:3" x14ac:dyDescent="0.5">
      <c r="A1020" t="s">
        <v>1051</v>
      </c>
      <c r="B1020" t="s">
        <v>1677</v>
      </c>
      <c r="C1020" s="4" t="str">
        <f>IF(ISERROR(_xlfn.XMATCH(B1020,oldlist!B:B,0)),"not found","found")</f>
        <v>found</v>
      </c>
    </row>
    <row r="1021" spans="1:3" x14ac:dyDescent="0.5">
      <c r="A1021" t="s">
        <v>1051</v>
      </c>
      <c r="B1021" t="s">
        <v>2585</v>
      </c>
      <c r="C1021" s="4" t="str">
        <f>IF(ISERROR(_xlfn.XMATCH(B1021,oldlist!B:B,0)),"not found","found")</f>
        <v>not found</v>
      </c>
    </row>
    <row r="1022" spans="1:3" x14ac:dyDescent="0.5">
      <c r="A1022" t="s">
        <v>1051</v>
      </c>
      <c r="B1022" t="s">
        <v>1265</v>
      </c>
      <c r="C1022" s="4" t="str">
        <f>IF(ISERROR(_xlfn.XMATCH(B1022,oldlist!B:B,0)),"not found","found")</f>
        <v>found</v>
      </c>
    </row>
    <row r="1023" spans="1:3" x14ac:dyDescent="0.5">
      <c r="A1023" t="s">
        <v>1051</v>
      </c>
      <c r="B1023" t="s">
        <v>1095</v>
      </c>
      <c r="C1023" s="4" t="str">
        <f>IF(ISERROR(_xlfn.XMATCH(B1023,oldlist!B:B,0)),"not found","found")</f>
        <v>found</v>
      </c>
    </row>
    <row r="1024" spans="1:3" x14ac:dyDescent="0.5">
      <c r="A1024" t="s">
        <v>1051</v>
      </c>
      <c r="B1024" t="s">
        <v>2399</v>
      </c>
      <c r="C1024" s="4" t="str">
        <f>IF(ISERROR(_xlfn.XMATCH(B1024,oldlist!B:B,0)),"not found","found")</f>
        <v>not found</v>
      </c>
    </row>
    <row r="1025" spans="1:3" x14ac:dyDescent="0.5">
      <c r="A1025" t="s">
        <v>1051</v>
      </c>
      <c r="B1025" t="s">
        <v>1203</v>
      </c>
      <c r="C1025" s="4" t="str">
        <f>IF(ISERROR(_xlfn.XMATCH(B1025,oldlist!B:B,0)),"not found","found")</f>
        <v>found</v>
      </c>
    </row>
    <row r="1026" spans="1:3" x14ac:dyDescent="0.5">
      <c r="A1026" t="s">
        <v>1051</v>
      </c>
      <c r="B1026" t="s">
        <v>2535</v>
      </c>
      <c r="C1026" s="4" t="str">
        <f>IF(ISERROR(_xlfn.XMATCH(B1026,oldlist!B:B,0)),"not found","found")</f>
        <v>not found</v>
      </c>
    </row>
    <row r="1027" spans="1:3" x14ac:dyDescent="0.5">
      <c r="A1027" t="s">
        <v>1051</v>
      </c>
      <c r="B1027" t="s">
        <v>2611</v>
      </c>
      <c r="C1027" s="4" t="str">
        <f>IF(ISERROR(_xlfn.XMATCH(B1027,oldlist!B:B,0)),"not found","found")</f>
        <v>found</v>
      </c>
    </row>
    <row r="1028" spans="1:3" x14ac:dyDescent="0.5">
      <c r="A1028" t="s">
        <v>1051</v>
      </c>
      <c r="B1028" t="s">
        <v>1911</v>
      </c>
      <c r="C1028" s="4" t="str">
        <f>IF(ISERROR(_xlfn.XMATCH(B1028,oldlist!B:B,0)),"not found","found")</f>
        <v>found</v>
      </c>
    </row>
    <row r="1029" spans="1:3" x14ac:dyDescent="0.5">
      <c r="A1029" t="s">
        <v>1051</v>
      </c>
      <c r="B1029" t="s">
        <v>1559</v>
      </c>
      <c r="C1029" s="4" t="str">
        <f>IF(ISERROR(_xlfn.XMATCH(B1029,oldlist!B:B,0)),"not found","found")</f>
        <v>found</v>
      </c>
    </row>
    <row r="1030" spans="1:3" x14ac:dyDescent="0.5">
      <c r="A1030" t="s">
        <v>1051</v>
      </c>
      <c r="B1030" t="s">
        <v>1199</v>
      </c>
      <c r="C1030" s="4" t="str">
        <f>IF(ISERROR(_xlfn.XMATCH(B1030,oldlist!B:B,0)),"not found","found")</f>
        <v>found</v>
      </c>
    </row>
    <row r="1031" spans="1:3" x14ac:dyDescent="0.5">
      <c r="A1031" t="s">
        <v>1051</v>
      </c>
      <c r="B1031" t="s">
        <v>2143</v>
      </c>
      <c r="C1031" s="4" t="str">
        <f>IF(ISERROR(_xlfn.XMATCH(B1031,oldlist!B:B,0)),"not found","found")</f>
        <v>not found</v>
      </c>
    </row>
    <row r="1032" spans="1:3" x14ac:dyDescent="0.5">
      <c r="A1032" t="s">
        <v>1051</v>
      </c>
      <c r="B1032" t="s">
        <v>2131</v>
      </c>
      <c r="C1032" s="4" t="str">
        <f>IF(ISERROR(_xlfn.XMATCH(B1032,oldlist!B:B,0)),"not found","found")</f>
        <v>found</v>
      </c>
    </row>
    <row r="1033" spans="1:3" x14ac:dyDescent="0.5">
      <c r="A1033" t="s">
        <v>1051</v>
      </c>
      <c r="B1033" t="s">
        <v>2549</v>
      </c>
      <c r="C1033" s="4" t="str">
        <f>IF(ISERROR(_xlfn.XMATCH(B1033,oldlist!B:B,0)),"not found","found")</f>
        <v>not found</v>
      </c>
    </row>
    <row r="1034" spans="1:3" x14ac:dyDescent="0.5">
      <c r="A1034" t="s">
        <v>1051</v>
      </c>
      <c r="B1034" t="s">
        <v>2643</v>
      </c>
      <c r="C1034" s="4" t="str">
        <f>IF(ISERROR(_xlfn.XMATCH(B1034,oldlist!B:B,0)),"not found","found")</f>
        <v>not found</v>
      </c>
    </row>
    <row r="1035" spans="1:3" x14ac:dyDescent="0.5">
      <c r="A1035" t="s">
        <v>1051</v>
      </c>
      <c r="B1035" t="s">
        <v>1545</v>
      </c>
      <c r="C1035" s="4" t="str">
        <f>IF(ISERROR(_xlfn.XMATCH(B1035,oldlist!B:B,0)),"not found","found")</f>
        <v>found</v>
      </c>
    </row>
    <row r="1036" spans="1:3" x14ac:dyDescent="0.5">
      <c r="A1036" t="s">
        <v>1051</v>
      </c>
      <c r="B1036" t="s">
        <v>2427</v>
      </c>
      <c r="C1036" s="4" t="str">
        <f>IF(ISERROR(_xlfn.XMATCH(B1036,oldlist!B:B,0)),"not found","found")</f>
        <v>found</v>
      </c>
    </row>
    <row r="1037" spans="1:3" x14ac:dyDescent="0.5">
      <c r="A1037" t="s">
        <v>1051</v>
      </c>
      <c r="B1037" t="s">
        <v>2521</v>
      </c>
      <c r="C1037" s="4" t="str">
        <f>IF(ISERROR(_xlfn.XMATCH(B1037,oldlist!B:B,0)),"not found","found")</f>
        <v>found</v>
      </c>
    </row>
    <row r="1038" spans="1:3" x14ac:dyDescent="0.5">
      <c r="A1038" t="s">
        <v>1051</v>
      </c>
      <c r="B1038" t="s">
        <v>1479</v>
      </c>
      <c r="C1038" s="4" t="str">
        <f>IF(ISERROR(_xlfn.XMATCH(B1038,oldlist!B:B,0)),"not found","found")</f>
        <v>found</v>
      </c>
    </row>
    <row r="1039" spans="1:3" x14ac:dyDescent="0.5">
      <c r="A1039" t="s">
        <v>1051</v>
      </c>
      <c r="B1039" t="s">
        <v>2695</v>
      </c>
      <c r="C1039" s="4" t="str">
        <f>IF(ISERROR(_xlfn.XMATCH(B1039,oldlist!B:B,0)),"not found","found")</f>
        <v>found</v>
      </c>
    </row>
    <row r="1040" spans="1:3" x14ac:dyDescent="0.5">
      <c r="A1040" t="s">
        <v>1051</v>
      </c>
      <c r="B1040" t="s">
        <v>1591</v>
      </c>
      <c r="C1040" s="4" t="str">
        <f>IF(ISERROR(_xlfn.XMATCH(B1040,oldlist!B:B,0)),"not found","found")</f>
        <v>found</v>
      </c>
    </row>
    <row r="1041" spans="1:3" x14ac:dyDescent="0.5">
      <c r="A1041" t="s">
        <v>1051</v>
      </c>
      <c r="B1041" t="s">
        <v>1621</v>
      </c>
      <c r="C1041" s="4" t="str">
        <f>IF(ISERROR(_xlfn.XMATCH(B1041,oldlist!B:B,0)),"not found","found")</f>
        <v>found</v>
      </c>
    </row>
    <row r="1042" spans="1:3" x14ac:dyDescent="0.5">
      <c r="A1042" t="s">
        <v>1051</v>
      </c>
      <c r="B1042" t="s">
        <v>2541</v>
      </c>
      <c r="C1042" s="4" t="str">
        <f>IF(ISERROR(_xlfn.XMATCH(B1042,oldlist!B:B,0)),"not found","found")</f>
        <v>found</v>
      </c>
    </row>
    <row r="1043" spans="1:3" x14ac:dyDescent="0.5">
      <c r="A1043" t="s">
        <v>1051</v>
      </c>
      <c r="B1043" t="s">
        <v>1909</v>
      </c>
      <c r="C1043" s="4" t="str">
        <f>IF(ISERROR(_xlfn.XMATCH(B1043,oldlist!B:B,0)),"not found","found")</f>
        <v>found</v>
      </c>
    </row>
    <row r="1044" spans="1:3" x14ac:dyDescent="0.5">
      <c r="A1044" t="s">
        <v>1051</v>
      </c>
      <c r="B1044" t="s">
        <v>2471</v>
      </c>
      <c r="C1044" s="4" t="str">
        <f>IF(ISERROR(_xlfn.XMATCH(B1044,oldlist!B:B,0)),"not found","found")</f>
        <v>not found</v>
      </c>
    </row>
    <row r="1045" spans="1:3" x14ac:dyDescent="0.5">
      <c r="A1045" t="s">
        <v>1051</v>
      </c>
      <c r="B1045" t="s">
        <v>1323</v>
      </c>
      <c r="C1045" s="4" t="str">
        <f>IF(ISERROR(_xlfn.XMATCH(B1045,oldlist!B:B,0)),"not found","found")</f>
        <v>found</v>
      </c>
    </row>
    <row r="1046" spans="1:3" x14ac:dyDescent="0.5">
      <c r="A1046" t="s">
        <v>1051</v>
      </c>
      <c r="B1046" t="s">
        <v>2591</v>
      </c>
      <c r="C1046" s="4" t="str">
        <f>IF(ISERROR(_xlfn.XMATCH(B1046,oldlist!B:B,0)),"not found","found")</f>
        <v>found</v>
      </c>
    </row>
    <row r="1047" spans="1:3" x14ac:dyDescent="0.5">
      <c r="A1047" t="s">
        <v>1051</v>
      </c>
      <c r="B1047" t="s">
        <v>1349</v>
      </c>
      <c r="C1047" s="4" t="str">
        <f>IF(ISERROR(_xlfn.XMATCH(B1047,oldlist!B:B,0)),"not found","found")</f>
        <v>found</v>
      </c>
    </row>
    <row r="1048" spans="1:3" x14ac:dyDescent="0.5">
      <c r="A1048" t="s">
        <v>1051</v>
      </c>
      <c r="B1048" t="s">
        <v>2309</v>
      </c>
      <c r="C1048" s="4" t="str">
        <f>IF(ISERROR(_xlfn.XMATCH(B1048,oldlist!B:B,0)),"not found","found")</f>
        <v>found</v>
      </c>
    </row>
    <row r="1049" spans="1:3" x14ac:dyDescent="0.5">
      <c r="A1049" t="s">
        <v>1051</v>
      </c>
      <c r="B1049" t="s">
        <v>1875</v>
      </c>
      <c r="C1049" s="4" t="str">
        <f>IF(ISERROR(_xlfn.XMATCH(B1049,oldlist!B:B,0)),"not found","found")</f>
        <v>found</v>
      </c>
    </row>
    <row r="1050" spans="1:3" x14ac:dyDescent="0.5">
      <c r="A1050" t="s">
        <v>1051</v>
      </c>
      <c r="B1050" t="s">
        <v>2445</v>
      </c>
      <c r="C1050" s="4" t="str">
        <f>IF(ISERROR(_xlfn.XMATCH(B1050,oldlist!B:B,0)),"not found","found")</f>
        <v>not found</v>
      </c>
    </row>
    <row r="1051" spans="1:3" x14ac:dyDescent="0.5">
      <c r="A1051" t="s">
        <v>1051</v>
      </c>
      <c r="B1051" t="s">
        <v>2453</v>
      </c>
      <c r="C1051" s="4" t="str">
        <f>IF(ISERROR(_xlfn.XMATCH(B1051,oldlist!B:B,0)),"not found","found")</f>
        <v>found</v>
      </c>
    </row>
    <row r="1052" spans="1:3" x14ac:dyDescent="0.5">
      <c r="A1052" t="s">
        <v>1051</v>
      </c>
      <c r="B1052" t="s">
        <v>2757</v>
      </c>
      <c r="C1052" s="4" t="str">
        <f>IF(ISERROR(_xlfn.XMATCH(B1052,oldlist!B:B,0)),"not found","found")</f>
        <v>found</v>
      </c>
    </row>
    <row r="1053" spans="1:3" x14ac:dyDescent="0.5">
      <c r="A1053" t="s">
        <v>1051</v>
      </c>
      <c r="B1053" t="s">
        <v>2107</v>
      </c>
      <c r="C1053" s="4" t="str">
        <f>IF(ISERROR(_xlfn.XMATCH(B1053,oldlist!B:B,0)),"not found","found")</f>
        <v>not found</v>
      </c>
    </row>
    <row r="1054" spans="1:3" x14ac:dyDescent="0.5">
      <c r="A1054" t="s">
        <v>1051</v>
      </c>
      <c r="B1054" t="s">
        <v>1657</v>
      </c>
      <c r="C1054" s="4" t="str">
        <f>IF(ISERROR(_xlfn.XMATCH(B1054,oldlist!B:B,0)),"not found","found")</f>
        <v>found</v>
      </c>
    </row>
    <row r="1055" spans="1:3" x14ac:dyDescent="0.5">
      <c r="A1055" t="s">
        <v>1051</v>
      </c>
      <c r="B1055" t="s">
        <v>1565</v>
      </c>
      <c r="C1055" s="4" t="str">
        <f>IF(ISERROR(_xlfn.XMATCH(B1055,oldlist!B:B,0)),"not found","found")</f>
        <v>found</v>
      </c>
    </row>
    <row r="1056" spans="1:3" x14ac:dyDescent="0.5">
      <c r="A1056" t="s">
        <v>1051</v>
      </c>
      <c r="B1056" t="s">
        <v>1863</v>
      </c>
      <c r="C1056" s="4" t="str">
        <f>IF(ISERROR(_xlfn.XMATCH(B1056,oldlist!B:B,0)),"not found","found")</f>
        <v>found</v>
      </c>
    </row>
    <row r="1057" spans="1:3" x14ac:dyDescent="0.5">
      <c r="A1057" t="s">
        <v>1051</v>
      </c>
      <c r="B1057" t="s">
        <v>2311</v>
      </c>
      <c r="C1057" s="4" t="str">
        <f>IF(ISERROR(_xlfn.XMATCH(B1057,oldlist!B:B,0)),"not found","found")</f>
        <v>not found</v>
      </c>
    </row>
    <row r="1058" spans="1:3" x14ac:dyDescent="0.5">
      <c r="A1058" t="s">
        <v>1051</v>
      </c>
      <c r="B1058" t="s">
        <v>1271</v>
      </c>
      <c r="C1058" s="4" t="str">
        <f>IF(ISERROR(_xlfn.XMATCH(B1058,oldlist!B:B,0)),"not found","found")</f>
        <v>found</v>
      </c>
    </row>
    <row r="1059" spans="1:3" x14ac:dyDescent="0.5">
      <c r="A1059" t="s">
        <v>1051</v>
      </c>
      <c r="B1059" t="s">
        <v>1797</v>
      </c>
      <c r="C1059" s="4" t="str">
        <f>IF(ISERROR(_xlfn.XMATCH(B1059,oldlist!B:B,0)),"not found","found")</f>
        <v>found</v>
      </c>
    </row>
    <row r="1060" spans="1:3" x14ac:dyDescent="0.5">
      <c r="A1060" t="s">
        <v>1051</v>
      </c>
      <c r="B1060" t="s">
        <v>1921</v>
      </c>
      <c r="C1060" s="4" t="str">
        <f>IF(ISERROR(_xlfn.XMATCH(B1060,oldlist!B:B,0)),"not found","found")</f>
        <v>found</v>
      </c>
    </row>
    <row r="1061" spans="1:3" x14ac:dyDescent="0.5">
      <c r="A1061" t="s">
        <v>1051</v>
      </c>
      <c r="B1061" t="s">
        <v>2709</v>
      </c>
      <c r="C1061" s="4" t="str">
        <f>IF(ISERROR(_xlfn.XMATCH(B1061,oldlist!B:B,0)),"not found","found")</f>
        <v>found</v>
      </c>
    </row>
    <row r="1062" spans="1:3" x14ac:dyDescent="0.5">
      <c r="A1062" t="s">
        <v>1051</v>
      </c>
      <c r="B1062" t="s">
        <v>1987</v>
      </c>
      <c r="C1062" s="4" t="str">
        <f>IF(ISERROR(_xlfn.XMATCH(B1062,oldlist!B:B,0)),"not found","found")</f>
        <v>found</v>
      </c>
    </row>
    <row r="1063" spans="1:3" x14ac:dyDescent="0.5">
      <c r="A1063" t="s">
        <v>1051</v>
      </c>
      <c r="B1063" t="s">
        <v>1813</v>
      </c>
      <c r="C1063" s="4" t="str">
        <f>IF(ISERROR(_xlfn.XMATCH(B1063,oldlist!B:B,0)),"not found","found")</f>
        <v>found</v>
      </c>
    </row>
    <row r="1064" spans="1:3" x14ac:dyDescent="0.5">
      <c r="A1064" t="s">
        <v>1051</v>
      </c>
      <c r="B1064" t="s">
        <v>2125</v>
      </c>
      <c r="C1064" s="4" t="str">
        <f>IF(ISERROR(_xlfn.XMATCH(B1064,oldlist!B:B,0)),"not found","found")</f>
        <v>found</v>
      </c>
    </row>
    <row r="1065" spans="1:3" x14ac:dyDescent="0.5">
      <c r="A1065" t="s">
        <v>1051</v>
      </c>
      <c r="B1065" t="s">
        <v>2575</v>
      </c>
      <c r="C1065" s="4" t="str">
        <f>IF(ISERROR(_xlfn.XMATCH(B1065,oldlist!B:B,0)),"not found","found")</f>
        <v>not found</v>
      </c>
    </row>
    <row r="1066" spans="1:3" x14ac:dyDescent="0.5">
      <c r="A1066" t="s">
        <v>1051</v>
      </c>
      <c r="B1066" t="s">
        <v>2647</v>
      </c>
      <c r="C1066" s="4" t="str">
        <f>IF(ISERROR(_xlfn.XMATCH(B1066,oldlist!B:B,0)),"not found","found")</f>
        <v>found</v>
      </c>
    </row>
    <row r="1067" spans="1:3" x14ac:dyDescent="0.5">
      <c r="A1067" t="s">
        <v>1051</v>
      </c>
      <c r="B1067" t="s">
        <v>2285</v>
      </c>
      <c r="C1067" s="4" t="str">
        <f>IF(ISERROR(_xlfn.XMATCH(B1067,oldlist!B:B,0)),"not found","found")</f>
        <v>found</v>
      </c>
    </row>
    <row r="1068" spans="1:3" x14ac:dyDescent="0.5">
      <c r="A1068" t="s">
        <v>1051</v>
      </c>
      <c r="B1068" t="s">
        <v>1735</v>
      </c>
      <c r="C1068" s="4" t="str">
        <f>IF(ISERROR(_xlfn.XMATCH(B1068,oldlist!B:B,0)),"not found","found")</f>
        <v>found</v>
      </c>
    </row>
    <row r="1069" spans="1:3" x14ac:dyDescent="0.5">
      <c r="A1069" t="s">
        <v>1051</v>
      </c>
      <c r="B1069" t="s">
        <v>2041</v>
      </c>
      <c r="C1069" s="4" t="str">
        <f>IF(ISERROR(_xlfn.XMATCH(B1069,oldlist!B:B,0)),"not found","found")</f>
        <v>found</v>
      </c>
    </row>
    <row r="1070" spans="1:3" x14ac:dyDescent="0.5">
      <c r="A1070" t="s">
        <v>1051</v>
      </c>
      <c r="B1070" t="s">
        <v>2423</v>
      </c>
      <c r="C1070" s="4" t="str">
        <f>IF(ISERROR(_xlfn.XMATCH(B1070,oldlist!B:B,0)),"not found","found")</f>
        <v>found</v>
      </c>
    </row>
    <row r="1071" spans="1:3" x14ac:dyDescent="0.5">
      <c r="A1071" t="s">
        <v>1051</v>
      </c>
      <c r="B1071" t="s">
        <v>2123</v>
      </c>
      <c r="C1071" s="4" t="str">
        <f>IF(ISERROR(_xlfn.XMATCH(B1071,oldlist!B:B,0)),"not found","found")</f>
        <v>not found</v>
      </c>
    </row>
    <row r="1072" spans="1:3" x14ac:dyDescent="0.5">
      <c r="A1072" t="s">
        <v>1051</v>
      </c>
      <c r="B1072" t="s">
        <v>2581</v>
      </c>
      <c r="C1072" s="4" t="str">
        <f>IF(ISERROR(_xlfn.XMATCH(B1072,oldlist!B:B,0)),"not found","found")</f>
        <v>not found</v>
      </c>
    </row>
    <row r="1073" spans="1:3" x14ac:dyDescent="0.5">
      <c r="A1073" t="s">
        <v>1051</v>
      </c>
      <c r="B1073" t="s">
        <v>2271</v>
      </c>
      <c r="C1073" s="4" t="str">
        <f>IF(ISERROR(_xlfn.XMATCH(B1073,oldlist!B:B,0)),"not found","found")</f>
        <v>not found</v>
      </c>
    </row>
    <row r="1074" spans="1:3" x14ac:dyDescent="0.5">
      <c r="A1074" t="s">
        <v>1051</v>
      </c>
      <c r="B1074" t="s">
        <v>2629</v>
      </c>
      <c r="C1074" s="4" t="str">
        <f>IF(ISERROR(_xlfn.XMATCH(B1074,oldlist!B:B,0)),"not found","found")</f>
        <v>found</v>
      </c>
    </row>
    <row r="1075" spans="1:3" x14ac:dyDescent="0.5">
      <c r="A1075" t="s">
        <v>1051</v>
      </c>
      <c r="B1075" t="s">
        <v>2455</v>
      </c>
      <c r="C1075" s="4" t="str">
        <f>IF(ISERROR(_xlfn.XMATCH(B1075,oldlist!B:B,0)),"not found","found")</f>
        <v>found</v>
      </c>
    </row>
    <row r="1076" spans="1:3" x14ac:dyDescent="0.5">
      <c r="A1076" t="s">
        <v>1051</v>
      </c>
      <c r="B1076" t="s">
        <v>2725</v>
      </c>
      <c r="C1076" s="4" t="str">
        <f>IF(ISERROR(_xlfn.XMATCH(B1076,oldlist!B:B,0)),"not found","found")</f>
        <v>not found</v>
      </c>
    </row>
    <row r="1077" spans="1:3" x14ac:dyDescent="0.5">
      <c r="A1077" t="s">
        <v>1051</v>
      </c>
      <c r="B1077" t="s">
        <v>2353</v>
      </c>
      <c r="C1077" s="4" t="str">
        <f>IF(ISERROR(_xlfn.XMATCH(B1077,oldlist!B:B,0)),"not found","found")</f>
        <v>found</v>
      </c>
    </row>
    <row r="1078" spans="1:3" x14ac:dyDescent="0.5">
      <c r="A1078" t="s">
        <v>1051</v>
      </c>
      <c r="B1078" t="s">
        <v>1623</v>
      </c>
      <c r="C1078" s="4" t="str">
        <f>IF(ISERROR(_xlfn.XMATCH(B1078,oldlist!B:B,0)),"not found","found")</f>
        <v>found</v>
      </c>
    </row>
    <row r="1079" spans="1:3" x14ac:dyDescent="0.5">
      <c r="A1079" t="s">
        <v>1051</v>
      </c>
      <c r="B1079" t="s">
        <v>2261</v>
      </c>
      <c r="C1079" s="4" t="str">
        <f>IF(ISERROR(_xlfn.XMATCH(B1079,oldlist!B:B,0)),"not found","found")</f>
        <v>found</v>
      </c>
    </row>
    <row r="1080" spans="1:3" x14ac:dyDescent="0.5">
      <c r="A1080" t="s">
        <v>1051</v>
      </c>
      <c r="B1080" t="s">
        <v>1791</v>
      </c>
      <c r="C1080" s="4" t="str">
        <f>IF(ISERROR(_xlfn.XMATCH(B1080,oldlist!B:B,0)),"not found","found")</f>
        <v>found</v>
      </c>
    </row>
    <row r="1081" spans="1:3" x14ac:dyDescent="0.5">
      <c r="A1081" t="s">
        <v>1051</v>
      </c>
      <c r="B1081" t="s">
        <v>1069</v>
      </c>
      <c r="C1081" s="4" t="str">
        <f>IF(ISERROR(_xlfn.XMATCH(B1081,oldlist!B:B,0)),"not found","found")</f>
        <v>found</v>
      </c>
    </row>
    <row r="1082" spans="1:3" x14ac:dyDescent="0.5">
      <c r="A1082" t="s">
        <v>1051</v>
      </c>
      <c r="B1082" t="s">
        <v>1789</v>
      </c>
      <c r="C1082" s="4" t="str">
        <f>IF(ISERROR(_xlfn.XMATCH(B1082,oldlist!B:B,0)),"not found","found")</f>
        <v>found</v>
      </c>
    </row>
    <row r="1083" spans="1:3" x14ac:dyDescent="0.5">
      <c r="A1083" t="s">
        <v>1051</v>
      </c>
      <c r="B1083" t="s">
        <v>1489</v>
      </c>
      <c r="C1083" s="4" t="str">
        <f>IF(ISERROR(_xlfn.XMATCH(B1083,oldlist!B:B,0)),"not found","found")</f>
        <v>found</v>
      </c>
    </row>
    <row r="1084" spans="1:3" x14ac:dyDescent="0.5">
      <c r="A1084" t="s">
        <v>1051</v>
      </c>
      <c r="B1084" t="s">
        <v>1083</v>
      </c>
      <c r="C1084" s="4" t="str">
        <f>IF(ISERROR(_xlfn.XMATCH(B1084,oldlist!B:B,0)),"not found","found")</f>
        <v>found</v>
      </c>
    </row>
    <row r="1085" spans="1:3" x14ac:dyDescent="0.5">
      <c r="A1085" t="s">
        <v>1051</v>
      </c>
      <c r="B1085" t="s">
        <v>1853</v>
      </c>
      <c r="C1085" s="4" t="str">
        <f>IF(ISERROR(_xlfn.XMATCH(B1085,oldlist!B:B,0)),"not found","found")</f>
        <v>found</v>
      </c>
    </row>
    <row r="1086" spans="1:3" x14ac:dyDescent="0.5">
      <c r="A1086" t="s">
        <v>1051</v>
      </c>
      <c r="B1086" t="s">
        <v>1061</v>
      </c>
      <c r="C1086" s="4" t="str">
        <f>IF(ISERROR(_xlfn.XMATCH(B1086,oldlist!B:B,0)),"not found","found")</f>
        <v>found</v>
      </c>
    </row>
    <row r="1087" spans="1:3" x14ac:dyDescent="0.5">
      <c r="A1087" t="s">
        <v>1051</v>
      </c>
      <c r="B1087" t="s">
        <v>1279</v>
      </c>
      <c r="C1087" s="4" t="str">
        <f>IF(ISERROR(_xlfn.XMATCH(B1087,oldlist!B:B,0)),"not found","found")</f>
        <v>found</v>
      </c>
    </row>
    <row r="1088" spans="1:3" x14ac:dyDescent="0.5">
      <c r="A1088" t="s">
        <v>1051</v>
      </c>
      <c r="B1088" t="s">
        <v>2195</v>
      </c>
      <c r="C1088" s="4" t="str">
        <f>IF(ISERROR(_xlfn.XMATCH(B1088,oldlist!B:B,0)),"not found","found")</f>
        <v>not found</v>
      </c>
    </row>
    <row r="1089" spans="1:3" x14ac:dyDescent="0.5">
      <c r="A1089" t="s">
        <v>1051</v>
      </c>
      <c r="B1089" t="s">
        <v>2607</v>
      </c>
      <c r="C1089" s="4" t="str">
        <f>IF(ISERROR(_xlfn.XMATCH(B1089,oldlist!B:B,0)),"not found","found")</f>
        <v>found</v>
      </c>
    </row>
    <row r="1090" spans="1:3" x14ac:dyDescent="0.5">
      <c r="A1090" t="s">
        <v>1051</v>
      </c>
      <c r="B1090" t="s">
        <v>2333</v>
      </c>
      <c r="C1090" s="4" t="str">
        <f>IF(ISERROR(_xlfn.XMATCH(B1090,oldlist!B:B,0)),"not found","found")</f>
        <v>found</v>
      </c>
    </row>
    <row r="1091" spans="1:3" x14ac:dyDescent="0.5">
      <c r="A1091" t="s">
        <v>1051</v>
      </c>
      <c r="B1091" t="s">
        <v>1833</v>
      </c>
      <c r="C1091" s="4" t="str">
        <f>IF(ISERROR(_xlfn.XMATCH(B1091,oldlist!B:B,0)),"not found","found")</f>
        <v>found</v>
      </c>
    </row>
    <row r="1092" spans="1:3" x14ac:dyDescent="0.5">
      <c r="A1092" t="s">
        <v>1051</v>
      </c>
      <c r="B1092" t="s">
        <v>1597</v>
      </c>
      <c r="C1092" s="4" t="str">
        <f>IF(ISERROR(_xlfn.XMATCH(B1092,oldlist!B:B,0)),"not found","found")</f>
        <v>found</v>
      </c>
    </row>
    <row r="1093" spans="1:3" x14ac:dyDescent="0.5">
      <c r="A1093" t="s">
        <v>1051</v>
      </c>
      <c r="B1093" t="s">
        <v>1111</v>
      </c>
      <c r="C1093" s="4" t="str">
        <f>IF(ISERROR(_xlfn.XMATCH(B1093,oldlist!B:B,0)),"not found","found")</f>
        <v>found</v>
      </c>
    </row>
    <row r="1094" spans="1:3" x14ac:dyDescent="0.5">
      <c r="A1094" t="s">
        <v>1051</v>
      </c>
      <c r="B1094" t="s">
        <v>1281</v>
      </c>
      <c r="C1094" s="4" t="str">
        <f>IF(ISERROR(_xlfn.XMATCH(B1094,oldlist!B:B,0)),"not found","found")</f>
        <v>found</v>
      </c>
    </row>
    <row r="1095" spans="1:3" x14ac:dyDescent="0.5">
      <c r="A1095" t="s">
        <v>1051</v>
      </c>
      <c r="B1095" t="s">
        <v>2735</v>
      </c>
      <c r="C1095" s="4" t="str">
        <f>IF(ISERROR(_xlfn.XMATCH(B1095,oldlist!B:B,0)),"not found","found")</f>
        <v>not found</v>
      </c>
    </row>
    <row r="1096" spans="1:3" x14ac:dyDescent="0.5">
      <c r="A1096" t="s">
        <v>1051</v>
      </c>
      <c r="B1096" t="s">
        <v>2105</v>
      </c>
      <c r="C1096" s="4" t="str">
        <f>IF(ISERROR(_xlfn.XMATCH(B1096,oldlist!B:B,0)),"not found","found")</f>
        <v>found</v>
      </c>
    </row>
    <row r="1097" spans="1:3" x14ac:dyDescent="0.5">
      <c r="A1097" t="s">
        <v>1051</v>
      </c>
      <c r="B1097" t="s">
        <v>1451</v>
      </c>
      <c r="C1097" s="4" t="str">
        <f>IF(ISERROR(_xlfn.XMATCH(B1097,oldlist!B:B,0)),"not found","found")</f>
        <v>found</v>
      </c>
    </row>
    <row r="1098" spans="1:3" x14ac:dyDescent="0.5">
      <c r="A1098" t="s">
        <v>1051</v>
      </c>
      <c r="B1098" t="s">
        <v>2463</v>
      </c>
      <c r="C1098" s="4" t="str">
        <f>IF(ISERROR(_xlfn.XMATCH(B1098,oldlist!B:B,0)),"not found","found")</f>
        <v>not found</v>
      </c>
    </row>
    <row r="1099" spans="1:3" x14ac:dyDescent="0.5">
      <c r="A1099" t="s">
        <v>1051</v>
      </c>
      <c r="B1099" t="s">
        <v>1651</v>
      </c>
      <c r="C1099" s="4" t="str">
        <f>IF(ISERROR(_xlfn.XMATCH(B1099,oldlist!B:B,0)),"not found","found")</f>
        <v>found</v>
      </c>
    </row>
    <row r="1100" spans="1:3" x14ac:dyDescent="0.5">
      <c r="A1100" t="s">
        <v>1051</v>
      </c>
      <c r="B1100" t="s">
        <v>1945</v>
      </c>
      <c r="C1100" s="4" t="str">
        <f>IF(ISERROR(_xlfn.XMATCH(B1100,oldlist!B:B,0)),"not found","found")</f>
        <v>found</v>
      </c>
    </row>
    <row r="1101" spans="1:3" x14ac:dyDescent="0.5">
      <c r="A1101" t="s">
        <v>1051</v>
      </c>
      <c r="B1101" t="s">
        <v>1595</v>
      </c>
      <c r="C1101" s="4" t="str">
        <f>IF(ISERROR(_xlfn.XMATCH(B1101,oldlist!B:B,0)),"not found","found")</f>
        <v>found</v>
      </c>
    </row>
    <row r="1102" spans="1:3" x14ac:dyDescent="0.5">
      <c r="A1102" t="s">
        <v>1051</v>
      </c>
      <c r="B1102" t="s">
        <v>1143</v>
      </c>
      <c r="C1102" s="4" t="str">
        <f>IF(ISERROR(_xlfn.XMATCH(B1102,oldlist!B:B,0)),"not found","found")</f>
        <v>found</v>
      </c>
    </row>
    <row r="1103" spans="1:3" x14ac:dyDescent="0.5">
      <c r="A1103" t="s">
        <v>1051</v>
      </c>
      <c r="B1103" t="s">
        <v>2341</v>
      </c>
      <c r="C1103" s="4" t="str">
        <f>IF(ISERROR(_xlfn.XMATCH(B1103,oldlist!B:B,0)),"not found","found")</f>
        <v>found</v>
      </c>
    </row>
    <row r="1104" spans="1:3" x14ac:dyDescent="0.5">
      <c r="A1104" t="s">
        <v>1051</v>
      </c>
      <c r="B1104" t="s">
        <v>2727</v>
      </c>
      <c r="C1104" s="4" t="str">
        <f>IF(ISERROR(_xlfn.XMATCH(B1104,oldlist!B:B,0)),"not found","found")</f>
        <v>found</v>
      </c>
    </row>
    <row r="1105" spans="1:3" x14ac:dyDescent="0.5">
      <c r="A1105" t="s">
        <v>1051</v>
      </c>
      <c r="B1105" t="s">
        <v>1715</v>
      </c>
      <c r="C1105" s="4" t="str">
        <f>IF(ISERROR(_xlfn.XMATCH(B1105,oldlist!B:B,0)),"not found","found")</f>
        <v>found</v>
      </c>
    </row>
    <row r="1106" spans="1:3" x14ac:dyDescent="0.5">
      <c r="A1106" t="s">
        <v>1051</v>
      </c>
      <c r="B1106" t="s">
        <v>2411</v>
      </c>
      <c r="C1106" s="4" t="str">
        <f>IF(ISERROR(_xlfn.XMATCH(B1106,oldlist!B:B,0)),"not found","found")</f>
        <v>found</v>
      </c>
    </row>
    <row r="1107" spans="1:3" x14ac:dyDescent="0.5">
      <c r="A1107" t="s">
        <v>1051</v>
      </c>
      <c r="B1107" t="s">
        <v>1543</v>
      </c>
      <c r="C1107" s="4" t="str">
        <f>IF(ISERROR(_xlfn.XMATCH(B1107,oldlist!B:B,0)),"not found","found")</f>
        <v>found</v>
      </c>
    </row>
    <row r="1108" spans="1:3" x14ac:dyDescent="0.5">
      <c r="A1108" t="s">
        <v>1051</v>
      </c>
      <c r="B1108" t="s">
        <v>2209</v>
      </c>
      <c r="C1108" s="4" t="str">
        <f>IF(ISERROR(_xlfn.XMATCH(B1108,oldlist!B:B,0)),"not found","found")</f>
        <v>found</v>
      </c>
    </row>
    <row r="1109" spans="1:3" x14ac:dyDescent="0.5">
      <c r="A1109" t="s">
        <v>1051</v>
      </c>
      <c r="B1109" t="s">
        <v>1977</v>
      </c>
      <c r="C1109" s="4" t="str">
        <f>IF(ISERROR(_xlfn.XMATCH(B1109,oldlist!B:B,0)),"not found","found")</f>
        <v>found</v>
      </c>
    </row>
    <row r="1110" spans="1:3" x14ac:dyDescent="0.5">
      <c r="A1110" t="s">
        <v>1051</v>
      </c>
      <c r="B1110" t="s">
        <v>1847</v>
      </c>
      <c r="C1110" s="4" t="str">
        <f>IF(ISERROR(_xlfn.XMATCH(B1110,oldlist!B:B,0)),"not found","found")</f>
        <v>found</v>
      </c>
    </row>
    <row r="1111" spans="1:3" x14ac:dyDescent="0.5">
      <c r="A1111" t="s">
        <v>1051</v>
      </c>
      <c r="B1111" t="s">
        <v>2145</v>
      </c>
      <c r="C1111" s="4" t="str">
        <f>IF(ISERROR(_xlfn.XMATCH(B1111,oldlist!B:B,0)),"not found","found")</f>
        <v>found</v>
      </c>
    </row>
    <row r="1112" spans="1:3" x14ac:dyDescent="0.5">
      <c r="A1112" t="s">
        <v>1051</v>
      </c>
      <c r="B1112" t="s">
        <v>1821</v>
      </c>
      <c r="C1112" s="4" t="str">
        <f>IF(ISERROR(_xlfn.XMATCH(B1112,oldlist!B:B,0)),"not found","found")</f>
        <v>found</v>
      </c>
    </row>
    <row r="1113" spans="1:3" x14ac:dyDescent="0.5">
      <c r="A1113" t="s">
        <v>1051</v>
      </c>
      <c r="B1113" t="s">
        <v>2391</v>
      </c>
      <c r="C1113" s="4" t="str">
        <f>IF(ISERROR(_xlfn.XMATCH(B1113,oldlist!B:B,0)),"not found","found")</f>
        <v>found</v>
      </c>
    </row>
    <row r="1114" spans="1:3" x14ac:dyDescent="0.5">
      <c r="A1114" t="s">
        <v>1051</v>
      </c>
      <c r="B1114" t="s">
        <v>2689</v>
      </c>
      <c r="C1114" s="4" t="str">
        <f>IF(ISERROR(_xlfn.XMATCH(B1114,oldlist!B:B,0)),"not found","found")</f>
        <v>found</v>
      </c>
    </row>
    <row r="1115" spans="1:3" x14ac:dyDescent="0.5">
      <c r="A1115" t="s">
        <v>1051</v>
      </c>
      <c r="B1115" t="s">
        <v>2345</v>
      </c>
      <c r="C1115" s="4" t="str">
        <f>IF(ISERROR(_xlfn.XMATCH(B1115,oldlist!B:B,0)),"not found","found")</f>
        <v>found</v>
      </c>
    </row>
    <row r="1116" spans="1:3" x14ac:dyDescent="0.5">
      <c r="A1116" t="s">
        <v>1051</v>
      </c>
      <c r="B1116" t="s">
        <v>2691</v>
      </c>
      <c r="C1116" s="4" t="str">
        <f>IF(ISERROR(_xlfn.XMATCH(B1116,oldlist!B:B,0)),"not found","found")</f>
        <v>not found</v>
      </c>
    </row>
    <row r="1117" spans="1:3" x14ac:dyDescent="0.5">
      <c r="A1117" t="s">
        <v>1051</v>
      </c>
      <c r="B1117" t="s">
        <v>1109</v>
      </c>
      <c r="C1117" s="4" t="str">
        <f>IF(ISERROR(_xlfn.XMATCH(B1117,oldlist!B:B,0)),"not found","found")</f>
        <v>found</v>
      </c>
    </row>
    <row r="1118" spans="1:3" x14ac:dyDescent="0.5">
      <c r="A1118" t="s">
        <v>1051</v>
      </c>
      <c r="B1118" t="s">
        <v>1991</v>
      </c>
      <c r="C1118" s="4" t="str">
        <f>IF(ISERROR(_xlfn.XMATCH(B1118,oldlist!B:B,0)),"not found","found")</f>
        <v>found</v>
      </c>
    </row>
    <row r="1119" spans="1:3" x14ac:dyDescent="0.5">
      <c r="A1119" t="s">
        <v>1051</v>
      </c>
      <c r="B1119" t="s">
        <v>2739</v>
      </c>
      <c r="C1119" s="4" t="str">
        <f>IF(ISERROR(_xlfn.XMATCH(B1119,oldlist!B:B,0)),"not found","found")</f>
        <v>not found</v>
      </c>
    </row>
    <row r="1120" spans="1:3" x14ac:dyDescent="0.5">
      <c r="A1120" t="s">
        <v>1051</v>
      </c>
      <c r="B1120" t="s">
        <v>1499</v>
      </c>
      <c r="C1120" s="4" t="str">
        <f>IF(ISERROR(_xlfn.XMATCH(B1120,oldlist!B:B,0)),"not found","found")</f>
        <v>found</v>
      </c>
    </row>
    <row r="1121" spans="1:3" x14ac:dyDescent="0.5">
      <c r="A1121" t="s">
        <v>1051</v>
      </c>
      <c r="B1121" t="s">
        <v>2135</v>
      </c>
      <c r="C1121" s="4" t="str">
        <f>IF(ISERROR(_xlfn.XMATCH(B1121,oldlist!B:B,0)),"not found","found")</f>
        <v>found</v>
      </c>
    </row>
    <row r="1122" spans="1:3" x14ac:dyDescent="0.5">
      <c r="A1122" t="s">
        <v>1051</v>
      </c>
      <c r="B1122" t="s">
        <v>2231</v>
      </c>
      <c r="C1122" s="4" t="str">
        <f>IF(ISERROR(_xlfn.XMATCH(B1122,oldlist!B:B,0)),"not found","found")</f>
        <v>found</v>
      </c>
    </row>
    <row r="1123" spans="1:3" x14ac:dyDescent="0.5">
      <c r="A1123" t="s">
        <v>1051</v>
      </c>
      <c r="B1123" t="s">
        <v>1943</v>
      </c>
      <c r="C1123" s="4" t="str">
        <f>IF(ISERROR(_xlfn.XMATCH(B1123,oldlist!B:B,0)),"not found","found")</f>
        <v>found</v>
      </c>
    </row>
    <row r="1124" spans="1:3" x14ac:dyDescent="0.5">
      <c r="A1124" t="s">
        <v>1051</v>
      </c>
      <c r="B1124" t="s">
        <v>1849</v>
      </c>
      <c r="C1124" s="4" t="str">
        <f>IF(ISERROR(_xlfn.XMATCH(B1124,oldlist!B:B,0)),"not found","found")</f>
        <v>found</v>
      </c>
    </row>
    <row r="1125" spans="1:3" x14ac:dyDescent="0.5">
      <c r="A1125" t="s">
        <v>1051</v>
      </c>
      <c r="B1125" t="s">
        <v>1511</v>
      </c>
      <c r="C1125" s="4" t="str">
        <f>IF(ISERROR(_xlfn.XMATCH(B1125,oldlist!B:B,0)),"not found","found")</f>
        <v>found</v>
      </c>
    </row>
    <row r="1126" spans="1:3" x14ac:dyDescent="0.5">
      <c r="A1126" t="s">
        <v>1051</v>
      </c>
      <c r="B1126" t="s">
        <v>1859</v>
      </c>
      <c r="C1126" s="4" t="str">
        <f>IF(ISERROR(_xlfn.XMATCH(B1126,oldlist!B:B,0)),"not found","found")</f>
        <v>found</v>
      </c>
    </row>
    <row r="1127" spans="1:3" x14ac:dyDescent="0.5">
      <c r="A1127" t="s">
        <v>1051</v>
      </c>
      <c r="B1127" t="s">
        <v>1805</v>
      </c>
      <c r="C1127" s="4" t="str">
        <f>IF(ISERROR(_xlfn.XMATCH(B1127,oldlist!B:B,0)),"not found","found")</f>
        <v>found</v>
      </c>
    </row>
    <row r="1128" spans="1:3" x14ac:dyDescent="0.5">
      <c r="A1128" t="s">
        <v>1051</v>
      </c>
      <c r="B1128" t="s">
        <v>2705</v>
      </c>
      <c r="C1128" s="4" t="str">
        <f>IF(ISERROR(_xlfn.XMATCH(B1128,oldlist!B:B,0)),"not found","found")</f>
        <v>found</v>
      </c>
    </row>
    <row r="1129" spans="1:3" x14ac:dyDescent="0.5">
      <c r="A1129" t="s">
        <v>1051</v>
      </c>
      <c r="B1129" t="s">
        <v>2745</v>
      </c>
      <c r="C1129" s="4" t="str">
        <f>IF(ISERROR(_xlfn.XMATCH(B1129,oldlist!B:B,0)),"not found","found")</f>
        <v>found</v>
      </c>
    </row>
    <row r="1130" spans="1:3" x14ac:dyDescent="0.5">
      <c r="A1130" t="s">
        <v>1051</v>
      </c>
      <c r="B1130" t="s">
        <v>2205</v>
      </c>
      <c r="C1130" s="4" t="str">
        <f>IF(ISERROR(_xlfn.XMATCH(B1130,oldlist!B:B,0)),"not found","found")</f>
        <v>found</v>
      </c>
    </row>
    <row r="1131" spans="1:3" x14ac:dyDescent="0.5">
      <c r="A1131" t="s">
        <v>1051</v>
      </c>
      <c r="B1131" t="s">
        <v>1295</v>
      </c>
      <c r="C1131" s="4" t="str">
        <f>IF(ISERROR(_xlfn.XMATCH(B1131,oldlist!B:B,0)),"not found","found")</f>
        <v>found</v>
      </c>
    </row>
    <row r="1132" spans="1:3" x14ac:dyDescent="0.5">
      <c r="A1132" t="s">
        <v>1051</v>
      </c>
      <c r="B1132" t="s">
        <v>1995</v>
      </c>
      <c r="C1132" s="4" t="str">
        <f>IF(ISERROR(_xlfn.XMATCH(B1132,oldlist!B:B,0)),"not found","found")</f>
        <v>found</v>
      </c>
    </row>
    <row r="1133" spans="1:3" x14ac:dyDescent="0.5">
      <c r="A1133" t="s">
        <v>1051</v>
      </c>
      <c r="B1133" t="s">
        <v>2553</v>
      </c>
      <c r="C1133" s="4" t="str">
        <f>IF(ISERROR(_xlfn.XMATCH(B1133,oldlist!B:B,0)),"not found","found")</f>
        <v>found</v>
      </c>
    </row>
    <row r="1134" spans="1:3" x14ac:dyDescent="0.5">
      <c r="A1134" t="s">
        <v>1051</v>
      </c>
      <c r="B1134" t="s">
        <v>1311</v>
      </c>
      <c r="C1134" s="4" t="str">
        <f>IF(ISERROR(_xlfn.XMATCH(B1134,oldlist!B:B,0)),"not found","found")</f>
        <v>found</v>
      </c>
    </row>
    <row r="1135" spans="1:3" x14ac:dyDescent="0.5">
      <c r="A1135" t="s">
        <v>1051</v>
      </c>
      <c r="B1135" t="s">
        <v>2595</v>
      </c>
      <c r="C1135" s="4" t="str">
        <f>IF(ISERROR(_xlfn.XMATCH(B1135,oldlist!B:B,0)),"not found","found")</f>
        <v>not found</v>
      </c>
    </row>
    <row r="1136" spans="1:3" x14ac:dyDescent="0.5">
      <c r="A1136" t="s">
        <v>1051</v>
      </c>
      <c r="B1136" t="s">
        <v>2701</v>
      </c>
      <c r="C1136" s="4" t="str">
        <f>IF(ISERROR(_xlfn.XMATCH(B1136,oldlist!B:B,0)),"not found","found")</f>
        <v>found</v>
      </c>
    </row>
    <row r="1137" spans="1:3" x14ac:dyDescent="0.5">
      <c r="A1137" t="s">
        <v>1051</v>
      </c>
      <c r="B1137" t="s">
        <v>1119</v>
      </c>
      <c r="C1137" s="4" t="str">
        <f>IF(ISERROR(_xlfn.XMATCH(B1137,oldlist!B:B,0)),"not found","found")</f>
        <v>found</v>
      </c>
    </row>
    <row r="1138" spans="1:3" x14ac:dyDescent="0.5">
      <c r="A1138" t="s">
        <v>1051</v>
      </c>
      <c r="B1138" t="s">
        <v>2641</v>
      </c>
      <c r="C1138" s="4" t="str">
        <f>IF(ISERROR(_xlfn.XMATCH(B1138,oldlist!B:B,0)),"not found","found")</f>
        <v>not found</v>
      </c>
    </row>
    <row r="1139" spans="1:3" x14ac:dyDescent="0.5">
      <c r="A1139" t="s">
        <v>1051</v>
      </c>
      <c r="B1139" t="s">
        <v>1487</v>
      </c>
      <c r="C1139" s="4" t="str">
        <f>IF(ISERROR(_xlfn.XMATCH(B1139,oldlist!B:B,0)),"not found","found")</f>
        <v>found</v>
      </c>
    </row>
    <row r="1140" spans="1:3" x14ac:dyDescent="0.5">
      <c r="A1140" t="s">
        <v>1051</v>
      </c>
      <c r="B1140" t="s">
        <v>2617</v>
      </c>
      <c r="C1140" s="4" t="str">
        <f>IF(ISERROR(_xlfn.XMATCH(B1140,oldlist!B:B,0)),"not found","found")</f>
        <v>not found</v>
      </c>
    </row>
    <row r="1141" spans="1:3" x14ac:dyDescent="0.5">
      <c r="A1141" t="s">
        <v>1051</v>
      </c>
      <c r="B1141" t="s">
        <v>2731</v>
      </c>
      <c r="C1141" s="4" t="str">
        <f>IF(ISERROR(_xlfn.XMATCH(B1141,oldlist!B:B,0)),"not found","found")</f>
        <v>not found</v>
      </c>
    </row>
    <row r="1142" spans="1:3" x14ac:dyDescent="0.5">
      <c r="A1142" t="s">
        <v>1051</v>
      </c>
      <c r="B1142" t="s">
        <v>1471</v>
      </c>
      <c r="C1142" s="4" t="str">
        <f>IF(ISERROR(_xlfn.XMATCH(B1142,oldlist!B:B,0)),"not found","found")</f>
        <v>found</v>
      </c>
    </row>
    <row r="1143" spans="1:3" x14ac:dyDescent="0.5">
      <c r="A1143" t="s">
        <v>1051</v>
      </c>
      <c r="B1143" t="s">
        <v>1477</v>
      </c>
      <c r="C1143" s="4" t="str">
        <f>IF(ISERROR(_xlfn.XMATCH(B1143,oldlist!B:B,0)),"not found","found")</f>
        <v>found</v>
      </c>
    </row>
    <row r="1144" spans="1:3" x14ac:dyDescent="0.5">
      <c r="A1144" t="s">
        <v>1051</v>
      </c>
      <c r="B1144" t="s">
        <v>1955</v>
      </c>
      <c r="C1144" s="4" t="str">
        <f>IF(ISERROR(_xlfn.XMATCH(B1144,oldlist!B:B,0)),"not found","found")</f>
        <v>found</v>
      </c>
    </row>
    <row r="1145" spans="1:3" x14ac:dyDescent="0.5">
      <c r="A1145" t="s">
        <v>1051</v>
      </c>
      <c r="B1145" t="s">
        <v>1361</v>
      </c>
      <c r="C1145" s="4" t="str">
        <f>IF(ISERROR(_xlfn.XMATCH(B1145,oldlist!B:B,0)),"not found","found")</f>
        <v>found</v>
      </c>
    </row>
    <row r="1146" spans="1:3" x14ac:dyDescent="0.5">
      <c r="A1146" t="s">
        <v>1051</v>
      </c>
      <c r="B1146" t="s">
        <v>1967</v>
      </c>
      <c r="C1146" s="4" t="str">
        <f>IF(ISERROR(_xlfn.XMATCH(B1146,oldlist!B:B,0)),"not found","found")</f>
        <v>found</v>
      </c>
    </row>
    <row r="1147" spans="1:3" x14ac:dyDescent="0.5">
      <c r="A1147" t="s">
        <v>1051</v>
      </c>
      <c r="B1147" t="s">
        <v>2265</v>
      </c>
      <c r="C1147" s="4" t="str">
        <f>IF(ISERROR(_xlfn.XMATCH(B1147,oldlist!B:B,0)),"not found","found")</f>
        <v>found</v>
      </c>
    </row>
    <row r="1148" spans="1:3" x14ac:dyDescent="0.5">
      <c r="A1148" t="s">
        <v>1051</v>
      </c>
      <c r="B1148" t="s">
        <v>1625</v>
      </c>
      <c r="C1148" s="4" t="str">
        <f>IF(ISERROR(_xlfn.XMATCH(B1148,oldlist!B:B,0)),"not found","found")</f>
        <v>found</v>
      </c>
    </row>
    <row r="1149" spans="1:3" x14ac:dyDescent="0.5">
      <c r="A1149" t="s">
        <v>1051</v>
      </c>
      <c r="B1149" t="s">
        <v>1079</v>
      </c>
      <c r="C1149" s="4" t="str">
        <f>IF(ISERROR(_xlfn.XMATCH(B1149,oldlist!B:B,0)),"not found","found")</f>
        <v>found</v>
      </c>
    </row>
    <row r="1150" spans="1:3" x14ac:dyDescent="0.5">
      <c r="A1150" t="s">
        <v>1051</v>
      </c>
      <c r="B1150" t="s">
        <v>1215</v>
      </c>
      <c r="C1150" s="4" t="str">
        <f>IF(ISERROR(_xlfn.XMATCH(B1150,oldlist!B:B,0)),"not found","found")</f>
        <v>found</v>
      </c>
    </row>
    <row r="1151" spans="1:3" x14ac:dyDescent="0.5">
      <c r="A1151" t="s">
        <v>1051</v>
      </c>
      <c r="B1151" t="s">
        <v>1297</v>
      </c>
      <c r="C1151" s="4" t="str">
        <f>IF(ISERROR(_xlfn.XMATCH(B1151,oldlist!B:B,0)),"not found","found")</f>
        <v>found</v>
      </c>
    </row>
    <row r="1152" spans="1:3" x14ac:dyDescent="0.5">
      <c r="A1152" t="s">
        <v>1051</v>
      </c>
      <c r="B1152" t="s">
        <v>1293</v>
      </c>
      <c r="C1152" s="4" t="str">
        <f>IF(ISERROR(_xlfn.XMATCH(B1152,oldlist!B:B,0)),"not found","found")</f>
        <v>found</v>
      </c>
    </row>
    <row r="1153" spans="1:3" x14ac:dyDescent="0.5">
      <c r="A1153" t="s">
        <v>1051</v>
      </c>
      <c r="B1153" t="s">
        <v>2095</v>
      </c>
      <c r="C1153" s="4" t="str">
        <f>IF(ISERROR(_xlfn.XMATCH(B1153,oldlist!B:B,0)),"not found","found")</f>
        <v>not found</v>
      </c>
    </row>
    <row r="1154" spans="1:3" x14ac:dyDescent="0.5">
      <c r="A1154" t="s">
        <v>1051</v>
      </c>
      <c r="B1154" t="s">
        <v>1867</v>
      </c>
      <c r="C1154" s="4" t="str">
        <f>IF(ISERROR(_xlfn.XMATCH(B1154,oldlist!B:B,0)),"not found","found")</f>
        <v>found</v>
      </c>
    </row>
    <row r="1155" spans="1:3" x14ac:dyDescent="0.5">
      <c r="A1155" t="s">
        <v>1051</v>
      </c>
      <c r="B1155" t="s">
        <v>1823</v>
      </c>
      <c r="C1155" s="4" t="str">
        <f>IF(ISERROR(_xlfn.XMATCH(B1155,oldlist!B:B,0)),"not found","found")</f>
        <v>found</v>
      </c>
    </row>
    <row r="1156" spans="1:3" x14ac:dyDescent="0.5">
      <c r="A1156" t="s">
        <v>1051</v>
      </c>
      <c r="B1156" t="s">
        <v>1103</v>
      </c>
      <c r="C1156" s="4" t="str">
        <f>IF(ISERROR(_xlfn.XMATCH(B1156,oldlist!B:B,0)),"not found","found")</f>
        <v>found</v>
      </c>
    </row>
    <row r="1157" spans="1:3" x14ac:dyDescent="0.5">
      <c r="A1157" t="s">
        <v>1051</v>
      </c>
      <c r="B1157" t="s">
        <v>2329</v>
      </c>
      <c r="C1157" s="4" t="str">
        <f>IF(ISERROR(_xlfn.XMATCH(B1157,oldlist!B:B,0)),"not found","found")</f>
        <v>not found</v>
      </c>
    </row>
    <row r="1158" spans="1:3" x14ac:dyDescent="0.5">
      <c r="A1158" t="s">
        <v>1051</v>
      </c>
      <c r="B1158" t="s">
        <v>1397</v>
      </c>
      <c r="C1158" s="4" t="str">
        <f>IF(ISERROR(_xlfn.XMATCH(B1158,oldlist!B:B,0)),"not found","found")</f>
        <v>found</v>
      </c>
    </row>
    <row r="1159" spans="1:3" x14ac:dyDescent="0.5">
      <c r="A1159" t="s">
        <v>1051</v>
      </c>
      <c r="B1159" t="s">
        <v>1529</v>
      </c>
      <c r="C1159" s="4" t="str">
        <f>IF(ISERROR(_xlfn.XMATCH(B1159,oldlist!B:B,0)),"not found","found")</f>
        <v>found</v>
      </c>
    </row>
    <row r="1160" spans="1:3" x14ac:dyDescent="0.5">
      <c r="A1160" t="s">
        <v>1051</v>
      </c>
      <c r="B1160" t="s">
        <v>1831</v>
      </c>
      <c r="C1160" s="4" t="str">
        <f>IF(ISERROR(_xlfn.XMATCH(B1160,oldlist!B:B,0)),"not found","found")</f>
        <v>found</v>
      </c>
    </row>
    <row r="1161" spans="1:3" x14ac:dyDescent="0.5">
      <c r="A1161" t="s">
        <v>1051</v>
      </c>
      <c r="B1161" t="s">
        <v>1305</v>
      </c>
      <c r="C1161" s="4" t="str">
        <f>IF(ISERROR(_xlfn.XMATCH(B1161,oldlist!B:B,0)),"not found","found")</f>
        <v>found</v>
      </c>
    </row>
    <row r="1162" spans="1:3" x14ac:dyDescent="0.5">
      <c r="A1162" t="s">
        <v>1051</v>
      </c>
      <c r="B1162" t="s">
        <v>1669</v>
      </c>
      <c r="C1162" s="4" t="str">
        <f>IF(ISERROR(_xlfn.XMATCH(B1162,oldlist!B:B,0)),"not found","found")</f>
        <v>found</v>
      </c>
    </row>
    <row r="1163" spans="1:3" x14ac:dyDescent="0.5">
      <c r="A1163" t="s">
        <v>1051</v>
      </c>
      <c r="B1163" t="s">
        <v>1975</v>
      </c>
      <c r="C1163" s="4" t="str">
        <f>IF(ISERROR(_xlfn.XMATCH(B1163,oldlist!B:B,0)),"not found","found")</f>
        <v>found</v>
      </c>
    </row>
    <row r="1164" spans="1:3" x14ac:dyDescent="0.5">
      <c r="A1164" t="s">
        <v>1051</v>
      </c>
      <c r="B1164" t="s">
        <v>2477</v>
      </c>
      <c r="C1164" s="4" t="str">
        <f>IF(ISERROR(_xlfn.XMATCH(B1164,oldlist!B:B,0)),"not found","found")</f>
        <v>found</v>
      </c>
    </row>
    <row r="1165" spans="1:3" x14ac:dyDescent="0.5">
      <c r="A1165" t="s">
        <v>1051</v>
      </c>
      <c r="B1165" t="s">
        <v>1895</v>
      </c>
      <c r="C1165" s="4" t="str">
        <f>IF(ISERROR(_xlfn.XMATCH(B1165,oldlist!B:B,0)),"not found","found")</f>
        <v>found</v>
      </c>
    </row>
    <row r="1166" spans="1:3" x14ac:dyDescent="0.5">
      <c r="A1166" t="s">
        <v>1051</v>
      </c>
      <c r="B1166" t="s">
        <v>1935</v>
      </c>
      <c r="C1166" s="4" t="str">
        <f>IF(ISERROR(_xlfn.XMATCH(B1166,oldlist!B:B,0)),"not found","found")</f>
        <v>found</v>
      </c>
    </row>
    <row r="1167" spans="1:3" x14ac:dyDescent="0.5">
      <c r="A1167" t="s">
        <v>1051</v>
      </c>
      <c r="B1167" t="s">
        <v>1455</v>
      </c>
      <c r="C1167" s="4" t="str">
        <f>IF(ISERROR(_xlfn.XMATCH(B1167,oldlist!B:B,0)),"not found","found")</f>
        <v>found</v>
      </c>
    </row>
    <row r="1168" spans="1:3" x14ac:dyDescent="0.5">
      <c r="A1168" t="s">
        <v>1051</v>
      </c>
      <c r="B1168" t="s">
        <v>2055</v>
      </c>
      <c r="C1168" s="4" t="str">
        <f>IF(ISERROR(_xlfn.XMATCH(B1168,oldlist!B:B,0)),"not found","found")</f>
        <v>found</v>
      </c>
    </row>
    <row r="1169" spans="1:3" x14ac:dyDescent="0.5">
      <c r="A1169" t="s">
        <v>1051</v>
      </c>
      <c r="B1169" t="s">
        <v>1115</v>
      </c>
      <c r="C1169" s="4" t="str">
        <f>IF(ISERROR(_xlfn.XMATCH(B1169,oldlist!B:B,0)),"not found","found")</f>
        <v>found</v>
      </c>
    </row>
    <row r="1170" spans="1:3" x14ac:dyDescent="0.5">
      <c r="A1170" t="s">
        <v>1051</v>
      </c>
      <c r="B1170" t="s">
        <v>2297</v>
      </c>
      <c r="C1170" s="4" t="str">
        <f>IF(ISERROR(_xlfn.XMATCH(B1170,oldlist!B:B,0)),"not found","found")</f>
        <v>found</v>
      </c>
    </row>
    <row r="1171" spans="1:3" x14ac:dyDescent="0.5">
      <c r="A1171" t="s">
        <v>1051</v>
      </c>
      <c r="B1171" t="s">
        <v>1949</v>
      </c>
      <c r="C1171" s="4" t="str">
        <f>IF(ISERROR(_xlfn.XMATCH(B1171,oldlist!B:B,0)),"not found","found")</f>
        <v>found</v>
      </c>
    </row>
    <row r="1172" spans="1:3" x14ac:dyDescent="0.5">
      <c r="A1172" t="s">
        <v>1051</v>
      </c>
      <c r="B1172" t="s">
        <v>2519</v>
      </c>
      <c r="C1172" s="4" t="str">
        <f>IF(ISERROR(_xlfn.XMATCH(B1172,oldlist!B:B,0)),"not found","found")</f>
        <v>not found</v>
      </c>
    </row>
    <row r="1173" spans="1:3" x14ac:dyDescent="0.5">
      <c r="A1173" t="s">
        <v>1051</v>
      </c>
      <c r="B1173" t="s">
        <v>2367</v>
      </c>
      <c r="C1173" s="4" t="str">
        <f>IF(ISERROR(_xlfn.XMATCH(B1173,oldlist!B:B,0)),"not found","found")</f>
        <v>found</v>
      </c>
    </row>
    <row r="1174" spans="1:3" x14ac:dyDescent="0.5">
      <c r="A1174" t="s">
        <v>1051</v>
      </c>
      <c r="B1174" t="s">
        <v>2255</v>
      </c>
      <c r="C1174" s="4" t="str">
        <f>IF(ISERROR(_xlfn.XMATCH(B1174,oldlist!B:B,0)),"not found","found")</f>
        <v>found</v>
      </c>
    </row>
    <row r="1175" spans="1:3" x14ac:dyDescent="0.5">
      <c r="A1175" t="s">
        <v>1051</v>
      </c>
      <c r="B1175" t="s">
        <v>1905</v>
      </c>
      <c r="C1175" s="4" t="str">
        <f>IF(ISERROR(_xlfn.XMATCH(B1175,oldlist!B:B,0)),"not found","found")</f>
        <v>found</v>
      </c>
    </row>
    <row r="1176" spans="1:3" x14ac:dyDescent="0.5">
      <c r="A1176" t="s">
        <v>1051</v>
      </c>
      <c r="B1176" t="s">
        <v>1097</v>
      </c>
      <c r="C1176" s="4" t="str">
        <f>IF(ISERROR(_xlfn.XMATCH(B1176,oldlist!B:B,0)),"not found","found")</f>
        <v>found</v>
      </c>
    </row>
    <row r="1177" spans="1:3" x14ac:dyDescent="0.5">
      <c r="A1177" t="s">
        <v>1051</v>
      </c>
      <c r="B1177" t="s">
        <v>1235</v>
      </c>
      <c r="C1177" s="4" t="str">
        <f>IF(ISERROR(_xlfn.XMATCH(B1177,oldlist!B:B,0)),"not found","found")</f>
        <v>found</v>
      </c>
    </row>
    <row r="1178" spans="1:3" x14ac:dyDescent="0.5">
      <c r="A1178" t="s">
        <v>1051</v>
      </c>
      <c r="B1178" t="s">
        <v>1269</v>
      </c>
      <c r="C1178" s="4" t="str">
        <f>IF(ISERROR(_xlfn.XMATCH(B1178,oldlist!B:B,0)),"not found","found")</f>
        <v>found</v>
      </c>
    </row>
    <row r="1179" spans="1:3" x14ac:dyDescent="0.5">
      <c r="A1179" t="s">
        <v>1051</v>
      </c>
      <c r="B1179" t="s">
        <v>2249</v>
      </c>
      <c r="C1179" s="4" t="str">
        <f>IF(ISERROR(_xlfn.XMATCH(B1179,oldlist!B:B,0)),"not found","found")</f>
        <v>found</v>
      </c>
    </row>
    <row r="1180" spans="1:3" x14ac:dyDescent="0.5">
      <c r="A1180" t="s">
        <v>1051</v>
      </c>
      <c r="B1180" t="s">
        <v>2619</v>
      </c>
      <c r="C1180" s="4" t="str">
        <f>IF(ISERROR(_xlfn.XMATCH(B1180,oldlist!B:B,0)),"not found","found")</f>
        <v>not found</v>
      </c>
    </row>
    <row r="1181" spans="1:3" x14ac:dyDescent="0.5">
      <c r="A1181" t="s">
        <v>1051</v>
      </c>
      <c r="B1181" t="s">
        <v>2449</v>
      </c>
      <c r="C1181" s="4" t="str">
        <f>IF(ISERROR(_xlfn.XMATCH(B1181,oldlist!B:B,0)),"not found","found")</f>
        <v>found</v>
      </c>
    </row>
    <row r="1182" spans="1:3" x14ac:dyDescent="0.5">
      <c r="A1182" t="s">
        <v>1051</v>
      </c>
      <c r="B1182" t="s">
        <v>1147</v>
      </c>
      <c r="C1182" s="4" t="str">
        <f>IF(ISERROR(_xlfn.XMATCH(B1182,oldlist!B:B,0)),"not found","found")</f>
        <v>found</v>
      </c>
    </row>
    <row r="1183" spans="1:3" x14ac:dyDescent="0.5">
      <c r="A1183" t="s">
        <v>1051</v>
      </c>
      <c r="B1183" t="s">
        <v>2021</v>
      </c>
      <c r="C1183" s="4" t="str">
        <f>IF(ISERROR(_xlfn.XMATCH(B1183,oldlist!B:B,0)),"not found","found")</f>
        <v>found</v>
      </c>
    </row>
    <row r="1184" spans="1:3" x14ac:dyDescent="0.5">
      <c r="A1184" t="s">
        <v>1051</v>
      </c>
      <c r="B1184" t="s">
        <v>1401</v>
      </c>
      <c r="C1184" s="4" t="str">
        <f>IF(ISERROR(_xlfn.XMATCH(B1184,oldlist!B:B,0)),"not found","found")</f>
        <v>found</v>
      </c>
    </row>
    <row r="1185" spans="1:3" x14ac:dyDescent="0.5">
      <c r="A1185" t="s">
        <v>1051</v>
      </c>
      <c r="B1185" t="s">
        <v>2649</v>
      </c>
      <c r="C1185" s="4" t="str">
        <f>IF(ISERROR(_xlfn.XMATCH(B1185,oldlist!B:B,0)),"not found","found")</f>
        <v>found</v>
      </c>
    </row>
    <row r="1186" spans="1:3" x14ac:dyDescent="0.5">
      <c r="A1186" t="s">
        <v>1051</v>
      </c>
      <c r="B1186" t="s">
        <v>1601</v>
      </c>
      <c r="C1186" s="4" t="str">
        <f>IF(ISERROR(_xlfn.XMATCH(B1186,oldlist!B:B,0)),"not found","found")</f>
        <v>found</v>
      </c>
    </row>
    <row r="1187" spans="1:3" x14ac:dyDescent="0.5">
      <c r="A1187" t="s">
        <v>1051</v>
      </c>
      <c r="B1187" t="s">
        <v>1589</v>
      </c>
      <c r="C1187" s="4" t="str">
        <f>IF(ISERROR(_xlfn.XMATCH(B1187,oldlist!B:B,0)),"not found","found")</f>
        <v>found</v>
      </c>
    </row>
    <row r="1188" spans="1:3" x14ac:dyDescent="0.5">
      <c r="A1188" t="s">
        <v>1051</v>
      </c>
      <c r="B1188" t="s">
        <v>1877</v>
      </c>
      <c r="C1188" s="4" t="str">
        <f>IF(ISERROR(_xlfn.XMATCH(B1188,oldlist!B:B,0)),"not found","found")</f>
        <v>found</v>
      </c>
    </row>
    <row r="1189" spans="1:3" x14ac:dyDescent="0.5">
      <c r="A1189" t="s">
        <v>1051</v>
      </c>
      <c r="B1189" t="s">
        <v>2677</v>
      </c>
      <c r="C1189" s="4" t="str">
        <f>IF(ISERROR(_xlfn.XMATCH(B1189,oldlist!B:B,0)),"not found","found")</f>
        <v>not found</v>
      </c>
    </row>
    <row r="1190" spans="1:3" x14ac:dyDescent="0.5">
      <c r="A1190" t="s">
        <v>1051</v>
      </c>
      <c r="B1190" t="s">
        <v>1713</v>
      </c>
      <c r="C1190" s="4" t="str">
        <f>IF(ISERROR(_xlfn.XMATCH(B1190,oldlist!B:B,0)),"not found","found")</f>
        <v>found</v>
      </c>
    </row>
    <row r="1191" spans="1:3" x14ac:dyDescent="0.5">
      <c r="A1191" t="s">
        <v>1051</v>
      </c>
      <c r="B1191" t="s">
        <v>2465</v>
      </c>
      <c r="C1191" s="4" t="str">
        <f>IF(ISERROR(_xlfn.XMATCH(B1191,oldlist!B:B,0)),"not found","found")</f>
        <v>not found</v>
      </c>
    </row>
    <row r="1192" spans="1:3" x14ac:dyDescent="0.5">
      <c r="A1192" t="s">
        <v>1051</v>
      </c>
      <c r="B1192" t="s">
        <v>1857</v>
      </c>
      <c r="C1192" s="4" t="str">
        <f>IF(ISERROR(_xlfn.XMATCH(B1192,oldlist!B:B,0)),"not found","found")</f>
        <v>found</v>
      </c>
    </row>
    <row r="1193" spans="1:3" x14ac:dyDescent="0.5">
      <c r="A1193" t="s">
        <v>1051</v>
      </c>
      <c r="B1193" t="s">
        <v>1057</v>
      </c>
      <c r="C1193" s="4" t="str">
        <f>IF(ISERROR(_xlfn.XMATCH(B1193,oldlist!B:B,0)),"not found","found")</f>
        <v>found</v>
      </c>
    </row>
    <row r="1194" spans="1:3" x14ac:dyDescent="0.5">
      <c r="A1194" t="s">
        <v>1051</v>
      </c>
      <c r="B1194" t="s">
        <v>2005</v>
      </c>
      <c r="C1194" s="4" t="str">
        <f>IF(ISERROR(_xlfn.XMATCH(B1194,oldlist!B:B,0)),"not found","found")</f>
        <v>found</v>
      </c>
    </row>
    <row r="1195" spans="1:3" x14ac:dyDescent="0.5">
      <c r="A1195" t="s">
        <v>1051</v>
      </c>
      <c r="B1195" t="s">
        <v>1123</v>
      </c>
      <c r="C1195" s="4" t="str">
        <f>IF(ISERROR(_xlfn.XMATCH(B1195,oldlist!B:B,0)),"not found","found")</f>
        <v>found</v>
      </c>
    </row>
    <row r="1196" spans="1:3" x14ac:dyDescent="0.5">
      <c r="A1196" t="s">
        <v>1051</v>
      </c>
      <c r="B1196" t="s">
        <v>1513</v>
      </c>
      <c r="C1196" s="4" t="str">
        <f>IF(ISERROR(_xlfn.XMATCH(B1196,oldlist!B:B,0)),"not found","found")</f>
        <v>found</v>
      </c>
    </row>
    <row r="1197" spans="1:3" x14ac:dyDescent="0.5">
      <c r="A1197" t="s">
        <v>1051</v>
      </c>
      <c r="B1197" t="s">
        <v>1525</v>
      </c>
      <c r="C1197" s="4" t="str">
        <f>IF(ISERROR(_xlfn.XMATCH(B1197,oldlist!B:B,0)),"not found","found")</f>
        <v>found</v>
      </c>
    </row>
    <row r="1198" spans="1:3" x14ac:dyDescent="0.5">
      <c r="A1198" t="s">
        <v>1051</v>
      </c>
      <c r="B1198" t="s">
        <v>1663</v>
      </c>
      <c r="C1198" s="4" t="str">
        <f>IF(ISERROR(_xlfn.XMATCH(B1198,oldlist!B:B,0)),"not found","found")</f>
        <v>found</v>
      </c>
    </row>
    <row r="1199" spans="1:3" x14ac:dyDescent="0.5">
      <c r="A1199" t="s">
        <v>1051</v>
      </c>
      <c r="B1199" t="s">
        <v>1647</v>
      </c>
      <c r="C1199" s="4" t="str">
        <f>IF(ISERROR(_xlfn.XMATCH(B1199,oldlist!B:B,0)),"not found","found")</f>
        <v>found</v>
      </c>
    </row>
    <row r="1200" spans="1:3" x14ac:dyDescent="0.5">
      <c r="A1200" t="s">
        <v>1051</v>
      </c>
      <c r="B1200" t="s">
        <v>1459</v>
      </c>
      <c r="C1200" s="4" t="str">
        <f>IF(ISERROR(_xlfn.XMATCH(B1200,oldlist!B:B,0)),"not found","found")</f>
        <v>found</v>
      </c>
    </row>
    <row r="1201" spans="1:3" x14ac:dyDescent="0.5">
      <c r="A1201" t="s">
        <v>1051</v>
      </c>
      <c r="B1201" t="s">
        <v>2517</v>
      </c>
      <c r="C1201" s="4" t="str">
        <f>IF(ISERROR(_xlfn.XMATCH(B1201,oldlist!B:B,0)),"not found","found")</f>
        <v>not found</v>
      </c>
    </row>
    <row r="1202" spans="1:3" x14ac:dyDescent="0.5">
      <c r="A1202" t="s">
        <v>1051</v>
      </c>
      <c r="B1202" t="s">
        <v>1353</v>
      </c>
      <c r="C1202" s="4" t="str">
        <f>IF(ISERROR(_xlfn.XMATCH(B1202,oldlist!B:B,0)),"not found","found")</f>
        <v>found</v>
      </c>
    </row>
    <row r="1203" spans="1:3" x14ac:dyDescent="0.5">
      <c r="A1203" t="s">
        <v>1051</v>
      </c>
      <c r="B1203" t="s">
        <v>1501</v>
      </c>
      <c r="C1203" s="4" t="str">
        <f>IF(ISERROR(_xlfn.XMATCH(B1203,oldlist!B:B,0)),"not found","found")</f>
        <v>found</v>
      </c>
    </row>
    <row r="1204" spans="1:3" x14ac:dyDescent="0.5">
      <c r="A1204" t="s">
        <v>1051</v>
      </c>
      <c r="B1204" t="s">
        <v>2639</v>
      </c>
      <c r="C1204" s="4" t="str">
        <f>IF(ISERROR(_xlfn.XMATCH(B1204,oldlist!B:B,0)),"not found","found")</f>
        <v>not found</v>
      </c>
    </row>
    <row r="1205" spans="1:3" x14ac:dyDescent="0.5">
      <c r="A1205" t="s">
        <v>1051</v>
      </c>
      <c r="B1205" t="s">
        <v>1267</v>
      </c>
      <c r="C1205" s="4" t="str">
        <f>IF(ISERROR(_xlfn.XMATCH(B1205,oldlist!B:B,0)),"not found","found")</f>
        <v>found</v>
      </c>
    </row>
    <row r="1206" spans="1:3" x14ac:dyDescent="0.5">
      <c r="A1206" t="s">
        <v>1051</v>
      </c>
      <c r="B1206" t="s">
        <v>1845</v>
      </c>
      <c r="C1206" s="4" t="str">
        <f>IF(ISERROR(_xlfn.XMATCH(B1206,oldlist!B:B,0)),"not found","found")</f>
        <v>found</v>
      </c>
    </row>
    <row r="1207" spans="1:3" x14ac:dyDescent="0.5">
      <c r="A1207" t="s">
        <v>1051</v>
      </c>
      <c r="B1207" t="s">
        <v>1359</v>
      </c>
      <c r="C1207" s="4" t="str">
        <f>IF(ISERROR(_xlfn.XMATCH(B1207,oldlist!B:B,0)),"not found","found")</f>
        <v>found</v>
      </c>
    </row>
    <row r="1208" spans="1:3" x14ac:dyDescent="0.5">
      <c r="A1208" t="s">
        <v>1051</v>
      </c>
      <c r="B1208" t="s">
        <v>1379</v>
      </c>
      <c r="C1208" s="4" t="str">
        <f>IF(ISERROR(_xlfn.XMATCH(B1208,oldlist!B:B,0)),"not found","found")</f>
        <v>found</v>
      </c>
    </row>
    <row r="1209" spans="1:3" x14ac:dyDescent="0.5">
      <c r="A1209" t="s">
        <v>1051</v>
      </c>
      <c r="B1209" t="s">
        <v>2565</v>
      </c>
      <c r="C1209" s="4" t="str">
        <f>IF(ISERROR(_xlfn.XMATCH(B1209,oldlist!B:B,0)),"not found","found")</f>
        <v>not found</v>
      </c>
    </row>
    <row r="1210" spans="1:3" x14ac:dyDescent="0.5">
      <c r="A1210" t="s">
        <v>1051</v>
      </c>
      <c r="B1210" t="s">
        <v>1599</v>
      </c>
      <c r="C1210" s="4" t="str">
        <f>IF(ISERROR(_xlfn.XMATCH(B1210,oldlist!B:B,0)),"not found","found")</f>
        <v>found</v>
      </c>
    </row>
    <row r="1211" spans="1:3" x14ac:dyDescent="0.5">
      <c r="A1211" t="s">
        <v>1051</v>
      </c>
      <c r="B1211" t="s">
        <v>2299</v>
      </c>
      <c r="C1211" s="4" t="str">
        <f>IF(ISERROR(_xlfn.XMATCH(B1211,oldlist!B:B,0)),"not found","found")</f>
        <v>found</v>
      </c>
    </row>
    <row r="1212" spans="1:3" x14ac:dyDescent="0.5">
      <c r="A1212" t="s">
        <v>1051</v>
      </c>
      <c r="B1212" t="s">
        <v>2033</v>
      </c>
      <c r="C1212" s="4" t="str">
        <f>IF(ISERROR(_xlfn.XMATCH(B1212,oldlist!B:B,0)),"not found","found")</f>
        <v>found</v>
      </c>
    </row>
    <row r="1213" spans="1:3" x14ac:dyDescent="0.5">
      <c r="A1213" t="s">
        <v>1051</v>
      </c>
      <c r="B1213" t="s">
        <v>2539</v>
      </c>
      <c r="C1213" s="4" t="str">
        <f>IF(ISERROR(_xlfn.XMATCH(B1213,oldlist!B:B,0)),"not found","found")</f>
        <v>found</v>
      </c>
    </row>
    <row r="1214" spans="1:3" x14ac:dyDescent="0.5">
      <c r="A1214" t="s">
        <v>1051</v>
      </c>
      <c r="B1214" t="s">
        <v>1643</v>
      </c>
      <c r="C1214" s="4" t="str">
        <f>IF(ISERROR(_xlfn.XMATCH(B1214,oldlist!B:B,0)),"not found","found")</f>
        <v>found</v>
      </c>
    </row>
    <row r="1215" spans="1:3" x14ac:dyDescent="0.5">
      <c r="A1215" t="s">
        <v>1051</v>
      </c>
      <c r="B1215" t="s">
        <v>1449</v>
      </c>
      <c r="C1215" s="4" t="str">
        <f>IF(ISERROR(_xlfn.XMATCH(B1215,oldlist!B:B,0)),"not found","found")</f>
        <v>found</v>
      </c>
    </row>
    <row r="1216" spans="1:3" x14ac:dyDescent="0.5">
      <c r="A1216" t="s">
        <v>1051</v>
      </c>
      <c r="B1216" t="s">
        <v>2343</v>
      </c>
      <c r="C1216" s="4" t="str">
        <f>IF(ISERROR(_xlfn.XMATCH(B1216,oldlist!B:B,0)),"not found","found")</f>
        <v>found</v>
      </c>
    </row>
    <row r="1217" spans="1:3" x14ac:dyDescent="0.5">
      <c r="A1217" t="s">
        <v>1051</v>
      </c>
      <c r="B1217" t="s">
        <v>1391</v>
      </c>
      <c r="C1217" s="4" t="str">
        <f>IF(ISERROR(_xlfn.XMATCH(B1217,oldlist!B:B,0)),"not found","found")</f>
        <v>found</v>
      </c>
    </row>
    <row r="1218" spans="1:3" x14ac:dyDescent="0.5">
      <c r="A1218" t="s">
        <v>1051</v>
      </c>
      <c r="B1218" t="s">
        <v>2717</v>
      </c>
      <c r="C1218" s="4" t="str">
        <f>IF(ISERROR(_xlfn.XMATCH(B1218,oldlist!B:B,0)),"not found","found")</f>
        <v>found</v>
      </c>
    </row>
    <row r="1219" spans="1:3" x14ac:dyDescent="0.5">
      <c r="A1219" t="s">
        <v>1051</v>
      </c>
      <c r="B1219" t="s">
        <v>2579</v>
      </c>
      <c r="C1219" s="4" t="str">
        <f>IF(ISERROR(_xlfn.XMATCH(B1219,oldlist!B:B,0)),"not found","found")</f>
        <v>not found</v>
      </c>
    </row>
    <row r="1220" spans="1:3" x14ac:dyDescent="0.5">
      <c r="A1220" t="s">
        <v>1051</v>
      </c>
      <c r="B1220" t="s">
        <v>1551</v>
      </c>
      <c r="C1220" s="4" t="str">
        <f>IF(ISERROR(_xlfn.XMATCH(B1220,oldlist!B:B,0)),"not found","found")</f>
        <v>found</v>
      </c>
    </row>
    <row r="1221" spans="1:3" x14ac:dyDescent="0.5">
      <c r="A1221" t="s">
        <v>1051</v>
      </c>
      <c r="B1221" t="s">
        <v>2327</v>
      </c>
      <c r="C1221" s="4" t="str">
        <f>IF(ISERROR(_xlfn.XMATCH(B1221,oldlist!B:B,0)),"not found","found")</f>
        <v>found</v>
      </c>
    </row>
    <row r="1222" spans="1:3" x14ac:dyDescent="0.5">
      <c r="A1222" t="s">
        <v>1051</v>
      </c>
      <c r="B1222" t="s">
        <v>2529</v>
      </c>
      <c r="C1222" s="4" t="str">
        <f>IF(ISERROR(_xlfn.XMATCH(B1222,oldlist!B:B,0)),"not found","found")</f>
        <v>found</v>
      </c>
    </row>
    <row r="1223" spans="1:3" x14ac:dyDescent="0.5">
      <c r="A1223" t="s">
        <v>1051</v>
      </c>
      <c r="B1223" t="s">
        <v>1495</v>
      </c>
      <c r="C1223" s="4" t="str">
        <f>IF(ISERROR(_xlfn.XMATCH(B1223,oldlist!B:B,0)),"not found","found")</f>
        <v>found</v>
      </c>
    </row>
    <row r="1224" spans="1:3" x14ac:dyDescent="0.5">
      <c r="A1224" t="s">
        <v>1051</v>
      </c>
      <c r="B1224" t="s">
        <v>1997</v>
      </c>
      <c r="C1224" s="4" t="str">
        <f>IF(ISERROR(_xlfn.XMATCH(B1224,oldlist!B:B,0)),"not found","found")</f>
        <v>found</v>
      </c>
    </row>
    <row r="1225" spans="1:3" x14ac:dyDescent="0.5">
      <c r="A1225" t="s">
        <v>1051</v>
      </c>
      <c r="B1225" t="s">
        <v>1841</v>
      </c>
      <c r="C1225" s="4" t="str">
        <f>IF(ISERROR(_xlfn.XMATCH(B1225,oldlist!B:B,0)),"not found","found")</f>
        <v>found</v>
      </c>
    </row>
    <row r="1226" spans="1:3" x14ac:dyDescent="0.5">
      <c r="A1226" t="s">
        <v>1051</v>
      </c>
      <c r="B1226" t="s">
        <v>2751</v>
      </c>
      <c r="C1226" s="4" t="str">
        <f>IF(ISERROR(_xlfn.XMATCH(B1226,oldlist!B:B,0)),"not found","found")</f>
        <v>not found</v>
      </c>
    </row>
    <row r="1227" spans="1:3" x14ac:dyDescent="0.5">
      <c r="A1227" t="s">
        <v>1051</v>
      </c>
      <c r="B1227" t="s">
        <v>1253</v>
      </c>
      <c r="C1227" s="4" t="str">
        <f>IF(ISERROR(_xlfn.XMATCH(B1227,oldlist!B:B,0)),"not found","found")</f>
        <v>found</v>
      </c>
    </row>
    <row r="1228" spans="1:3" x14ac:dyDescent="0.5">
      <c r="A1228" t="s">
        <v>1051</v>
      </c>
      <c r="B1228" t="s">
        <v>2659</v>
      </c>
      <c r="C1228" s="4" t="str">
        <f>IF(ISERROR(_xlfn.XMATCH(B1228,oldlist!B:B,0)),"not found","found")</f>
        <v>not found</v>
      </c>
    </row>
    <row r="1229" spans="1:3" x14ac:dyDescent="0.5">
      <c r="A1229" t="s">
        <v>1051</v>
      </c>
      <c r="B1229" t="s">
        <v>1425</v>
      </c>
      <c r="C1229" s="4" t="str">
        <f>IF(ISERROR(_xlfn.XMATCH(B1229,oldlist!B:B,0)),"not found","found")</f>
        <v>found</v>
      </c>
    </row>
    <row r="1230" spans="1:3" x14ac:dyDescent="0.5">
      <c r="A1230" t="s">
        <v>1051</v>
      </c>
      <c r="B1230" t="s">
        <v>2363</v>
      </c>
      <c r="C1230" s="4" t="str">
        <f>IF(ISERROR(_xlfn.XMATCH(B1230,oldlist!B:B,0)),"not found","found")</f>
        <v>found</v>
      </c>
    </row>
    <row r="1231" spans="1:3" x14ac:dyDescent="0.5">
      <c r="A1231" t="s">
        <v>1051</v>
      </c>
      <c r="B1231" t="s">
        <v>2451</v>
      </c>
      <c r="C1231" s="4" t="str">
        <f>IF(ISERROR(_xlfn.XMATCH(B1231,oldlist!B:B,0)),"not found","found")</f>
        <v>not found</v>
      </c>
    </row>
    <row r="1232" spans="1:3" x14ac:dyDescent="0.5">
      <c r="A1232" t="s">
        <v>1051</v>
      </c>
      <c r="B1232" t="s">
        <v>2259</v>
      </c>
      <c r="C1232" s="4" t="str">
        <f>IF(ISERROR(_xlfn.XMATCH(B1232,oldlist!B:B,0)),"not found","found")</f>
        <v>found</v>
      </c>
    </row>
    <row r="1233" spans="1:3" x14ac:dyDescent="0.5">
      <c r="A1233" t="s">
        <v>1051</v>
      </c>
      <c r="B1233" t="s">
        <v>1547</v>
      </c>
      <c r="C1233" s="4" t="str">
        <f>IF(ISERROR(_xlfn.XMATCH(B1233,oldlist!B:B,0)),"not found","found")</f>
        <v>found</v>
      </c>
    </row>
    <row r="1234" spans="1:3" x14ac:dyDescent="0.5">
      <c r="A1234" t="s">
        <v>1051</v>
      </c>
      <c r="B1234" t="s">
        <v>1283</v>
      </c>
      <c r="C1234" s="4" t="str">
        <f>IF(ISERROR(_xlfn.XMATCH(B1234,oldlist!B:B,0)),"not found","found")</f>
        <v>found</v>
      </c>
    </row>
    <row r="1235" spans="1:3" x14ac:dyDescent="0.5">
      <c r="A1235" t="s">
        <v>1051</v>
      </c>
      <c r="B1235" t="s">
        <v>2525</v>
      </c>
      <c r="C1235" s="4" t="str">
        <f>IF(ISERROR(_xlfn.XMATCH(B1235,oldlist!B:B,0)),"not found","found")</f>
        <v>not found</v>
      </c>
    </row>
    <row r="1236" spans="1:3" x14ac:dyDescent="0.5">
      <c r="A1236" t="s">
        <v>1051</v>
      </c>
      <c r="B1236" t="s">
        <v>1107</v>
      </c>
      <c r="C1236" s="4" t="str">
        <f>IF(ISERROR(_xlfn.XMATCH(B1236,oldlist!B:B,0)),"not found","found")</f>
        <v>found</v>
      </c>
    </row>
    <row r="1237" spans="1:3" x14ac:dyDescent="0.5">
      <c r="A1237" t="s">
        <v>1051</v>
      </c>
      <c r="B1237" t="s">
        <v>2013</v>
      </c>
      <c r="C1237" s="4" t="str">
        <f>IF(ISERROR(_xlfn.XMATCH(B1237,oldlist!B:B,0)),"not found","found")</f>
        <v>found</v>
      </c>
    </row>
    <row r="1238" spans="1:3" x14ac:dyDescent="0.5">
      <c r="A1238" t="s">
        <v>1051</v>
      </c>
      <c r="B1238" t="s">
        <v>2569</v>
      </c>
      <c r="C1238" s="4" t="str">
        <f>IF(ISERROR(_xlfn.XMATCH(B1238,oldlist!B:B,0)),"not found","found")</f>
        <v>not found</v>
      </c>
    </row>
    <row r="1239" spans="1:3" x14ac:dyDescent="0.5">
      <c r="A1239" t="s">
        <v>1051</v>
      </c>
      <c r="B1239" t="s">
        <v>1329</v>
      </c>
      <c r="C1239" s="4" t="str">
        <f>IF(ISERROR(_xlfn.XMATCH(B1239,oldlist!B:B,0)),"not found","found")</f>
        <v>found</v>
      </c>
    </row>
    <row r="1240" spans="1:3" x14ac:dyDescent="0.5">
      <c r="A1240" t="s">
        <v>1051</v>
      </c>
      <c r="B1240" t="s">
        <v>2215</v>
      </c>
      <c r="C1240" s="4" t="str">
        <f>IF(ISERROR(_xlfn.XMATCH(B1240,oldlist!B:B,0)),"not found","found")</f>
        <v>found</v>
      </c>
    </row>
    <row r="1241" spans="1:3" x14ac:dyDescent="0.5">
      <c r="A1241" t="s">
        <v>1051</v>
      </c>
      <c r="B1241" t="s">
        <v>1063</v>
      </c>
      <c r="C1241" s="4" t="str">
        <f>IF(ISERROR(_xlfn.XMATCH(B1241,oldlist!B:B,0)),"not found","found")</f>
        <v>found</v>
      </c>
    </row>
    <row r="1242" spans="1:3" x14ac:dyDescent="0.5">
      <c r="A1242" t="s">
        <v>1051</v>
      </c>
      <c r="B1242" t="s">
        <v>1247</v>
      </c>
      <c r="C1242" s="4" t="str">
        <f>IF(ISERROR(_xlfn.XMATCH(B1242,oldlist!B:B,0)),"not found","found")</f>
        <v>found</v>
      </c>
    </row>
    <row r="1243" spans="1:3" x14ac:dyDescent="0.5">
      <c r="A1243" t="s">
        <v>1051</v>
      </c>
      <c r="B1243" t="s">
        <v>1177</v>
      </c>
      <c r="C1243" s="4" t="str">
        <f>IF(ISERROR(_xlfn.XMATCH(B1243,oldlist!B:B,0)),"not found","found")</f>
        <v>found</v>
      </c>
    </row>
    <row r="1244" spans="1:3" x14ac:dyDescent="0.5">
      <c r="A1244" t="s">
        <v>1051</v>
      </c>
      <c r="B1244" t="s">
        <v>2707</v>
      </c>
      <c r="C1244" s="4" t="str">
        <f>IF(ISERROR(_xlfn.XMATCH(B1244,oldlist!B:B,0)),"not found","found")</f>
        <v>found</v>
      </c>
    </row>
    <row r="1245" spans="1:3" x14ac:dyDescent="0.5">
      <c r="A1245" t="s">
        <v>1051</v>
      </c>
      <c r="B1245" t="s">
        <v>2769</v>
      </c>
      <c r="C1245" s="4" t="str">
        <f>IF(ISERROR(_xlfn.XMATCH(B1245,oldlist!B:B,0)),"not found","found")</f>
        <v>found</v>
      </c>
    </row>
    <row r="1246" spans="1:3" x14ac:dyDescent="0.5">
      <c r="A1246" t="s">
        <v>1051</v>
      </c>
      <c r="B1246" t="s">
        <v>2763</v>
      </c>
      <c r="C1246" s="4" t="str">
        <f>IF(ISERROR(_xlfn.XMATCH(B1246,oldlist!B:B,0)),"not found","found")</f>
        <v>found</v>
      </c>
    </row>
    <row r="1247" spans="1:3" x14ac:dyDescent="0.5">
      <c r="A1247" t="s">
        <v>1051</v>
      </c>
      <c r="B1247" t="s">
        <v>2761</v>
      </c>
      <c r="C1247" s="4" t="str">
        <f>IF(ISERROR(_xlfn.XMATCH(B1247,oldlist!B:B,0)),"not found","found")</f>
        <v>found</v>
      </c>
    </row>
    <row r="1248" spans="1:3" x14ac:dyDescent="0.5">
      <c r="A1248" t="s">
        <v>1051</v>
      </c>
      <c r="B1248" t="s">
        <v>2759</v>
      </c>
      <c r="C1248" s="4" t="str">
        <f>IF(ISERROR(_xlfn.XMATCH(B1248,oldlist!B:B,0)),"not found","found")</f>
        <v>found</v>
      </c>
    </row>
    <row r="1249" spans="1:3" x14ac:dyDescent="0.5">
      <c r="A1249" t="s">
        <v>1051</v>
      </c>
      <c r="B1249" t="s">
        <v>2755</v>
      </c>
      <c r="C1249" s="4" t="str">
        <f>IF(ISERROR(_xlfn.XMATCH(B1249,oldlist!B:B,0)),"not found","found")</f>
        <v>found</v>
      </c>
    </row>
    <row r="1250" spans="1:3" x14ac:dyDescent="0.5">
      <c r="A1250" t="s">
        <v>1051</v>
      </c>
      <c r="B1250" t="s">
        <v>2737</v>
      </c>
      <c r="C1250" s="4" t="str">
        <f>IF(ISERROR(_xlfn.XMATCH(B1250,oldlist!B:B,0)),"not found","found")</f>
        <v>found</v>
      </c>
    </row>
    <row r="1251" spans="1:3" x14ac:dyDescent="0.5">
      <c r="A1251" t="s">
        <v>1051</v>
      </c>
      <c r="B1251" t="s">
        <v>2497</v>
      </c>
      <c r="C1251" s="4" t="str">
        <f>IF(ISERROR(_xlfn.XMATCH(B1251,oldlist!B:B,0)),"not found","found")</f>
        <v>found</v>
      </c>
    </row>
    <row r="1252" spans="1:3" x14ac:dyDescent="0.5">
      <c r="A1252" t="s">
        <v>1051</v>
      </c>
      <c r="B1252" t="s">
        <v>2721</v>
      </c>
      <c r="C1252" s="4" t="str">
        <f>IF(ISERROR(_xlfn.XMATCH(B1252,oldlist!B:B,0)),"not found","found")</f>
        <v>found</v>
      </c>
    </row>
    <row r="1253" spans="1:3" x14ac:dyDescent="0.5">
      <c r="A1253" t="s">
        <v>1051</v>
      </c>
      <c r="B1253" t="s">
        <v>2711</v>
      </c>
      <c r="C1253" s="4" t="str">
        <f>IF(ISERROR(_xlfn.XMATCH(B1253,oldlist!B:B,0)),"not found","found")</f>
        <v>found</v>
      </c>
    </row>
    <row r="1254" spans="1:3" x14ac:dyDescent="0.5">
      <c r="A1254" t="s">
        <v>1051</v>
      </c>
      <c r="B1254" t="s">
        <v>1439</v>
      </c>
      <c r="C1254" s="4" t="str">
        <f>IF(ISERROR(_xlfn.XMATCH(B1254,oldlist!B:B,0)),"not found","found")</f>
        <v>found</v>
      </c>
    </row>
    <row r="1255" spans="1:3" x14ac:dyDescent="0.5">
      <c r="A1255" t="s">
        <v>1051</v>
      </c>
      <c r="B1255" t="s">
        <v>1953</v>
      </c>
      <c r="C1255" s="4" t="str">
        <f>IF(ISERROR(_xlfn.XMATCH(B1255,oldlist!B:B,0)),"not found","found")</f>
        <v>found</v>
      </c>
    </row>
    <row r="1256" spans="1:3" x14ac:dyDescent="0.5">
      <c r="A1256" t="s">
        <v>1051</v>
      </c>
      <c r="B1256" t="s">
        <v>1171</v>
      </c>
      <c r="C1256" s="4" t="str">
        <f>IF(ISERROR(_xlfn.XMATCH(B1256,oldlist!B:B,0)),"not found","found")</f>
        <v>found</v>
      </c>
    </row>
    <row r="1257" spans="1:3" x14ac:dyDescent="0.5">
      <c r="A1257" t="s">
        <v>1051</v>
      </c>
      <c r="B1257" t="s">
        <v>2495</v>
      </c>
      <c r="C1257" s="4" t="str">
        <f>IF(ISERROR(_xlfn.XMATCH(B1257,oldlist!B:B,0)),"not found","found")</f>
        <v>not found</v>
      </c>
    </row>
    <row r="1258" spans="1:3" x14ac:dyDescent="0.5">
      <c r="A1258" t="s">
        <v>1051</v>
      </c>
      <c r="B1258" t="s">
        <v>1227</v>
      </c>
      <c r="C1258" s="4" t="str">
        <f>IF(ISERROR(_xlfn.XMATCH(B1258,oldlist!B:B,0)),"not found","found")</f>
        <v>found</v>
      </c>
    </row>
    <row r="1259" spans="1:3" x14ac:dyDescent="0.5">
      <c r="A1259" t="s">
        <v>1051</v>
      </c>
      <c r="B1259" t="s">
        <v>1803</v>
      </c>
      <c r="C1259" s="4" t="str">
        <f>IF(ISERROR(_xlfn.XMATCH(B1259,oldlist!B:B,0)),"not found","found")</f>
        <v>found</v>
      </c>
    </row>
    <row r="1260" spans="1:3" x14ac:dyDescent="0.5">
      <c r="A1260" t="s">
        <v>1051</v>
      </c>
      <c r="B1260" t="s">
        <v>2093</v>
      </c>
      <c r="C1260" s="4" t="str">
        <f>IF(ISERROR(_xlfn.XMATCH(B1260,oldlist!B:B,0)),"not found","found")</f>
        <v>found</v>
      </c>
    </row>
    <row r="1261" spans="1:3" x14ac:dyDescent="0.5">
      <c r="A1261" t="s">
        <v>1051</v>
      </c>
      <c r="B1261" t="s">
        <v>1881</v>
      </c>
      <c r="C1261" s="4" t="str">
        <f>IF(ISERROR(_xlfn.XMATCH(B1261,oldlist!B:B,0)),"not found","found")</f>
        <v>found</v>
      </c>
    </row>
    <row r="1262" spans="1:3" x14ac:dyDescent="0.5">
      <c r="A1262" t="s">
        <v>1051</v>
      </c>
      <c r="B1262" t="s">
        <v>1277</v>
      </c>
      <c r="C1262" s="4" t="str">
        <f>IF(ISERROR(_xlfn.XMATCH(B1262,oldlist!B:B,0)),"not found","found")</f>
        <v>found</v>
      </c>
    </row>
    <row r="1263" spans="1:3" x14ac:dyDescent="0.5">
      <c r="A1263" t="s">
        <v>1051</v>
      </c>
      <c r="B1263" t="s">
        <v>1441</v>
      </c>
      <c r="C1263" s="4" t="str">
        <f>IF(ISERROR(_xlfn.XMATCH(B1263,oldlist!B:B,0)),"not found","found")</f>
        <v>found</v>
      </c>
    </row>
    <row r="1264" spans="1:3" x14ac:dyDescent="0.5">
      <c r="A1264" t="s">
        <v>1051</v>
      </c>
      <c r="B1264" t="s">
        <v>1187</v>
      </c>
      <c r="C1264" s="4" t="str">
        <f>IF(ISERROR(_xlfn.XMATCH(B1264,oldlist!B:B,0)),"not found","found")</f>
        <v>found</v>
      </c>
    </row>
    <row r="1265" spans="1:3" x14ac:dyDescent="0.5">
      <c r="A1265" t="s">
        <v>1051</v>
      </c>
      <c r="B1265" t="s">
        <v>1129</v>
      </c>
      <c r="C1265" s="4" t="str">
        <f>IF(ISERROR(_xlfn.XMATCH(B1265,oldlist!B:B,0)),"not found","found")</f>
        <v>found</v>
      </c>
    </row>
    <row r="1266" spans="1:3" x14ac:dyDescent="0.5">
      <c r="A1266" t="s">
        <v>1051</v>
      </c>
      <c r="B1266" t="s">
        <v>1759</v>
      </c>
      <c r="C1266" s="4" t="str">
        <f>IF(ISERROR(_xlfn.XMATCH(B1266,oldlist!B:B,0)),"not found","found")</f>
        <v>found</v>
      </c>
    </row>
    <row r="1267" spans="1:3" x14ac:dyDescent="0.5">
      <c r="A1267" t="s">
        <v>1051</v>
      </c>
      <c r="B1267" t="s">
        <v>2559</v>
      </c>
      <c r="C1267" s="4" t="str">
        <f>IF(ISERROR(_xlfn.XMATCH(B1267,oldlist!B:B,0)),"not found","found")</f>
        <v>not found</v>
      </c>
    </row>
    <row r="1268" spans="1:3" x14ac:dyDescent="0.5">
      <c r="A1268" t="s">
        <v>1051</v>
      </c>
      <c r="B1268" t="s">
        <v>1743</v>
      </c>
      <c r="C1268" s="4" t="str">
        <f>IF(ISERROR(_xlfn.XMATCH(B1268,oldlist!B:B,0)),"not found","found")</f>
        <v>found</v>
      </c>
    </row>
    <row r="1269" spans="1:3" x14ac:dyDescent="0.5">
      <c r="A1269" t="s">
        <v>1051</v>
      </c>
      <c r="B1269" t="s">
        <v>2563</v>
      </c>
      <c r="C1269" s="4" t="str">
        <f>IF(ISERROR(_xlfn.XMATCH(B1269,oldlist!B:B,0)),"not found","found")</f>
        <v>not found</v>
      </c>
    </row>
    <row r="1270" spans="1:3" x14ac:dyDescent="0.5">
      <c r="A1270" t="s">
        <v>1051</v>
      </c>
      <c r="B1270" t="s">
        <v>1411</v>
      </c>
      <c r="C1270" s="4" t="str">
        <f>IF(ISERROR(_xlfn.XMATCH(B1270,oldlist!B:B,0)),"not found","found")</f>
        <v>found</v>
      </c>
    </row>
    <row r="1271" spans="1:3" x14ac:dyDescent="0.5">
      <c r="A1271" t="s">
        <v>1051</v>
      </c>
      <c r="B1271" t="s">
        <v>1779</v>
      </c>
      <c r="C1271" s="4" t="str">
        <f>IF(ISERROR(_xlfn.XMATCH(B1271,oldlist!B:B,0)),"not found","found")</f>
        <v>found</v>
      </c>
    </row>
    <row r="1272" spans="1:3" x14ac:dyDescent="0.5">
      <c r="A1272" t="s">
        <v>1051</v>
      </c>
      <c r="B1272" t="s">
        <v>1373</v>
      </c>
      <c r="C1272" s="4" t="str">
        <f>IF(ISERROR(_xlfn.XMATCH(B1272,oldlist!B:B,0)),"not found","found")</f>
        <v>found</v>
      </c>
    </row>
    <row r="1273" spans="1:3" x14ac:dyDescent="0.5">
      <c r="A1273" t="s">
        <v>1051</v>
      </c>
      <c r="B1273" t="s">
        <v>2053</v>
      </c>
      <c r="C1273" s="4" t="str">
        <f>IF(ISERROR(_xlfn.XMATCH(B1273,oldlist!B:B,0)),"not found","found")</f>
        <v>found</v>
      </c>
    </row>
    <row r="1274" spans="1:3" x14ac:dyDescent="0.5">
      <c r="A1274" t="s">
        <v>1051</v>
      </c>
      <c r="B1274" t="s">
        <v>1773</v>
      </c>
      <c r="C1274" s="4" t="str">
        <f>IF(ISERROR(_xlfn.XMATCH(B1274,oldlist!B:B,0)),"not found","found")</f>
        <v>found</v>
      </c>
    </row>
    <row r="1275" spans="1:3" x14ac:dyDescent="0.5">
      <c r="A1275" t="s">
        <v>1051</v>
      </c>
      <c r="B1275" t="s">
        <v>1629</v>
      </c>
      <c r="C1275" s="4" t="str">
        <f>IF(ISERROR(_xlfn.XMATCH(B1275,oldlist!B:B,0)),"not found","found")</f>
        <v>found</v>
      </c>
    </row>
    <row r="1276" spans="1:3" x14ac:dyDescent="0.5">
      <c r="A1276" t="s">
        <v>1051</v>
      </c>
      <c r="B1276" t="s">
        <v>1431</v>
      </c>
      <c r="C1276" s="4" t="str">
        <f>IF(ISERROR(_xlfn.XMATCH(B1276,oldlist!B:B,0)),"not found","found")</f>
        <v>found</v>
      </c>
    </row>
    <row r="1277" spans="1:3" x14ac:dyDescent="0.5">
      <c r="A1277" t="s">
        <v>1051</v>
      </c>
      <c r="B1277" t="s">
        <v>2197</v>
      </c>
      <c r="C1277" s="4" t="str">
        <f>IF(ISERROR(_xlfn.XMATCH(B1277,oldlist!B:B,0)),"not found","found")</f>
        <v>found</v>
      </c>
    </row>
    <row r="1278" spans="1:3" x14ac:dyDescent="0.5">
      <c r="A1278" t="s">
        <v>1051</v>
      </c>
      <c r="B1278" t="s">
        <v>1161</v>
      </c>
      <c r="C1278" s="4" t="str">
        <f>IF(ISERROR(_xlfn.XMATCH(B1278,oldlist!B:B,0)),"not found","found")</f>
        <v>found</v>
      </c>
    </row>
    <row r="1279" spans="1:3" x14ac:dyDescent="0.5">
      <c r="A1279" t="s">
        <v>1051</v>
      </c>
      <c r="B1279" t="s">
        <v>2235</v>
      </c>
      <c r="C1279" s="4" t="str">
        <f>IF(ISERROR(_xlfn.XMATCH(B1279,oldlist!B:B,0)),"not found","found")</f>
        <v>found</v>
      </c>
    </row>
    <row r="1280" spans="1:3" x14ac:dyDescent="0.5">
      <c r="A1280" t="s">
        <v>1051</v>
      </c>
      <c r="B1280" t="s">
        <v>2685</v>
      </c>
      <c r="C1280" s="4" t="str">
        <f>IF(ISERROR(_xlfn.XMATCH(B1280,oldlist!B:B,0)),"not found","found")</f>
        <v>not found</v>
      </c>
    </row>
    <row r="1281" spans="1:3" x14ac:dyDescent="0.5">
      <c r="A1281" t="s">
        <v>1051</v>
      </c>
      <c r="B1281" t="s">
        <v>2277</v>
      </c>
      <c r="C1281" s="4" t="str">
        <f>IF(ISERROR(_xlfn.XMATCH(B1281,oldlist!B:B,0)),"not found","found")</f>
        <v>found</v>
      </c>
    </row>
    <row r="1282" spans="1:3" x14ac:dyDescent="0.5">
      <c r="A1282" t="s">
        <v>1051</v>
      </c>
      <c r="B1282" t="s">
        <v>2571</v>
      </c>
      <c r="C1282" s="4" t="str">
        <f>IF(ISERROR(_xlfn.XMATCH(B1282,oldlist!B:B,0)),"not found","found")</f>
        <v>not found</v>
      </c>
    </row>
    <row r="1283" spans="1:3" x14ac:dyDescent="0.5">
      <c r="A1283" t="s">
        <v>1051</v>
      </c>
      <c r="B1283" t="s">
        <v>1535</v>
      </c>
      <c r="C1283" s="4" t="str">
        <f>IF(ISERROR(_xlfn.XMATCH(B1283,oldlist!B:B,0)),"not found","found")</f>
        <v>found</v>
      </c>
    </row>
    <row r="1284" spans="1:3" x14ac:dyDescent="0.5">
      <c r="A1284" t="s">
        <v>1051</v>
      </c>
      <c r="B1284" t="s">
        <v>1757</v>
      </c>
      <c r="C1284" s="4" t="str">
        <f>IF(ISERROR(_xlfn.XMATCH(B1284,oldlist!B:B,0)),"not found","found")</f>
        <v>found</v>
      </c>
    </row>
    <row r="1285" spans="1:3" x14ac:dyDescent="0.5">
      <c r="A1285" t="s">
        <v>1051</v>
      </c>
      <c r="B1285" t="s">
        <v>1117</v>
      </c>
      <c r="C1285" s="4" t="str">
        <f>IF(ISERROR(_xlfn.XMATCH(B1285,oldlist!B:B,0)),"not found","found")</f>
        <v>found</v>
      </c>
    </row>
    <row r="1286" spans="1:3" x14ac:dyDescent="0.5">
      <c r="A1286" t="s">
        <v>1051</v>
      </c>
      <c r="B1286" t="s">
        <v>1301</v>
      </c>
      <c r="C1286" s="4" t="str">
        <f>IF(ISERROR(_xlfn.XMATCH(B1286,oldlist!B:B,0)),"not found","found")</f>
        <v>found</v>
      </c>
    </row>
    <row r="1287" spans="1:3" x14ac:dyDescent="0.5">
      <c r="A1287" t="s">
        <v>1051</v>
      </c>
      <c r="B1287" t="s">
        <v>1191</v>
      </c>
      <c r="C1287" s="4" t="str">
        <f>IF(ISERROR(_xlfn.XMATCH(B1287,oldlist!B:B,0)),"not found","found")</f>
        <v>found</v>
      </c>
    </row>
    <row r="1288" spans="1:3" x14ac:dyDescent="0.5">
      <c r="A1288" t="s">
        <v>1051</v>
      </c>
      <c r="B1288" t="s">
        <v>1897</v>
      </c>
      <c r="C1288" s="4" t="str">
        <f>IF(ISERROR(_xlfn.XMATCH(B1288,oldlist!B:B,0)),"not found","found")</f>
        <v>found</v>
      </c>
    </row>
    <row r="1289" spans="1:3" x14ac:dyDescent="0.5">
      <c r="A1289" t="s">
        <v>1051</v>
      </c>
      <c r="B1289" t="s">
        <v>2661</v>
      </c>
      <c r="C1289" s="4" t="str">
        <f>IF(ISERROR(_xlfn.XMATCH(B1289,oldlist!B:B,0)),"not found","found")</f>
        <v>not found</v>
      </c>
    </row>
    <row r="1290" spans="1:3" x14ac:dyDescent="0.5">
      <c r="A1290" t="s">
        <v>1051</v>
      </c>
      <c r="B1290" t="s">
        <v>2533</v>
      </c>
      <c r="C1290" s="4" t="str">
        <f>IF(ISERROR(_xlfn.XMATCH(B1290,oldlist!B:B,0)),"not found","found")</f>
        <v>not found</v>
      </c>
    </row>
    <row r="1291" spans="1:3" x14ac:dyDescent="0.5">
      <c r="A1291" t="s">
        <v>1051</v>
      </c>
      <c r="B1291" t="s">
        <v>1377</v>
      </c>
      <c r="C1291" s="4" t="str">
        <f>IF(ISERROR(_xlfn.XMATCH(B1291,oldlist!B:B,0)),"not found","found")</f>
        <v>found</v>
      </c>
    </row>
    <row r="1292" spans="1:3" x14ac:dyDescent="0.5">
      <c r="A1292" t="s">
        <v>1051</v>
      </c>
      <c r="B1292" t="s">
        <v>1817</v>
      </c>
      <c r="C1292" s="4" t="str">
        <f>IF(ISERROR(_xlfn.XMATCH(B1292,oldlist!B:B,0)),"not found","found")</f>
        <v>found</v>
      </c>
    </row>
    <row r="1293" spans="1:3" x14ac:dyDescent="0.5">
      <c r="A1293" t="s">
        <v>1051</v>
      </c>
      <c r="B1293" t="s">
        <v>1207</v>
      </c>
      <c r="C1293" s="4" t="str">
        <f>IF(ISERROR(_xlfn.XMATCH(B1293,oldlist!B:B,0)),"not found","found")</f>
        <v>found</v>
      </c>
    </row>
    <row r="1294" spans="1:3" x14ac:dyDescent="0.5">
      <c r="A1294" t="s">
        <v>1051</v>
      </c>
      <c r="B1294" t="s">
        <v>1985</v>
      </c>
      <c r="C1294" s="4" t="str">
        <f>IF(ISERROR(_xlfn.XMATCH(B1294,oldlist!B:B,0)),"not found","found")</f>
        <v>found</v>
      </c>
    </row>
    <row r="1295" spans="1:3" x14ac:dyDescent="0.5">
      <c r="A1295" t="s">
        <v>1051</v>
      </c>
      <c r="B1295" t="s">
        <v>1387</v>
      </c>
      <c r="C1295" s="4" t="str">
        <f>IF(ISERROR(_xlfn.XMATCH(B1295,oldlist!B:B,0)),"not found","found")</f>
        <v>found</v>
      </c>
    </row>
    <row r="1296" spans="1:3" x14ac:dyDescent="0.5">
      <c r="A1296" t="s">
        <v>1051</v>
      </c>
      <c r="B1296" t="s">
        <v>2239</v>
      </c>
      <c r="C1296" s="4" t="str">
        <f>IF(ISERROR(_xlfn.XMATCH(B1296,oldlist!B:B,0)),"not found","found")</f>
        <v>not found</v>
      </c>
    </row>
    <row r="1297" spans="1:3" x14ac:dyDescent="0.5">
      <c r="A1297" t="s">
        <v>1051</v>
      </c>
      <c r="B1297" t="s">
        <v>1941</v>
      </c>
      <c r="C1297" s="4" t="str">
        <f>IF(ISERROR(_xlfn.XMATCH(B1297,oldlist!B:B,0)),"not found","found")</f>
        <v>found</v>
      </c>
    </row>
    <row r="1298" spans="1:3" x14ac:dyDescent="0.5">
      <c r="A1298" t="s">
        <v>1051</v>
      </c>
      <c r="B1298" t="s">
        <v>1563</v>
      </c>
      <c r="C1298" s="4" t="str">
        <f>IF(ISERROR(_xlfn.XMATCH(B1298,oldlist!B:B,0)),"not found","found")</f>
        <v>found</v>
      </c>
    </row>
    <row r="1299" spans="1:3" x14ac:dyDescent="0.5">
      <c r="A1299" t="s">
        <v>1051</v>
      </c>
      <c r="B1299" t="s">
        <v>1345</v>
      </c>
      <c r="C1299" s="4" t="str">
        <f>IF(ISERROR(_xlfn.XMATCH(B1299,oldlist!B:B,0)),"not found","found")</f>
        <v>found</v>
      </c>
    </row>
    <row r="1300" spans="1:3" x14ac:dyDescent="0.5">
      <c r="A1300" t="s">
        <v>1051</v>
      </c>
      <c r="B1300" t="s">
        <v>1363</v>
      </c>
      <c r="C1300" s="4" t="str">
        <f>IF(ISERROR(_xlfn.XMATCH(B1300,oldlist!B:B,0)),"not found","found")</f>
        <v>found</v>
      </c>
    </row>
    <row r="1301" spans="1:3" x14ac:dyDescent="0.5">
      <c r="A1301" t="s">
        <v>1051</v>
      </c>
      <c r="B1301" t="s">
        <v>2219</v>
      </c>
      <c r="C1301" s="4" t="str">
        <f>IF(ISERROR(_xlfn.XMATCH(B1301,oldlist!B:B,0)),"not found","found")</f>
        <v>not found</v>
      </c>
    </row>
    <row r="1302" spans="1:3" x14ac:dyDescent="0.5">
      <c r="A1302" t="s">
        <v>1051</v>
      </c>
      <c r="B1302" t="s">
        <v>2317</v>
      </c>
      <c r="C1302" s="4" t="str">
        <f>IF(ISERROR(_xlfn.XMATCH(B1302,oldlist!B:B,0)),"not found","found")</f>
        <v>not found</v>
      </c>
    </row>
    <row r="1303" spans="1:3" x14ac:dyDescent="0.5">
      <c r="A1303" t="s">
        <v>1051</v>
      </c>
      <c r="B1303" t="s">
        <v>2057</v>
      </c>
      <c r="C1303" s="4" t="str">
        <f>IF(ISERROR(_xlfn.XMATCH(B1303,oldlist!B:B,0)),"not found","found")</f>
        <v>found</v>
      </c>
    </row>
    <row r="1304" spans="1:3" x14ac:dyDescent="0.5">
      <c r="A1304" t="s">
        <v>1051</v>
      </c>
      <c r="B1304" t="s">
        <v>1971</v>
      </c>
      <c r="C1304" s="4" t="str">
        <f>IF(ISERROR(_xlfn.XMATCH(B1304,oldlist!B:B,0)),"not found","found")</f>
        <v>found</v>
      </c>
    </row>
    <row r="1305" spans="1:3" x14ac:dyDescent="0.5">
      <c r="A1305" t="s">
        <v>1051</v>
      </c>
      <c r="B1305" t="s">
        <v>2117</v>
      </c>
      <c r="C1305" s="4" t="str">
        <f>IF(ISERROR(_xlfn.XMATCH(B1305,oldlist!B:B,0)),"not found","found")</f>
        <v>found</v>
      </c>
    </row>
    <row r="1306" spans="1:3" x14ac:dyDescent="0.5">
      <c r="A1306" t="s">
        <v>1051</v>
      </c>
      <c r="B1306" t="s">
        <v>2589</v>
      </c>
      <c r="C1306" s="4" t="str">
        <f>IF(ISERROR(_xlfn.XMATCH(B1306,oldlist!B:B,0)),"not found","found")</f>
        <v>not found</v>
      </c>
    </row>
    <row r="1307" spans="1:3" x14ac:dyDescent="0.5">
      <c r="A1307" t="s">
        <v>1051</v>
      </c>
      <c r="B1307" t="s">
        <v>1317</v>
      </c>
      <c r="C1307" s="4" t="str">
        <f>IF(ISERROR(_xlfn.XMATCH(B1307,oldlist!B:B,0)),"not found","found")</f>
        <v>found</v>
      </c>
    </row>
    <row r="1308" spans="1:3" x14ac:dyDescent="0.5">
      <c r="A1308" t="s">
        <v>1051</v>
      </c>
      <c r="B1308" t="s">
        <v>1587</v>
      </c>
      <c r="C1308" s="4" t="str">
        <f>IF(ISERROR(_xlfn.XMATCH(B1308,oldlist!B:B,0)),"not found","found")</f>
        <v>found</v>
      </c>
    </row>
    <row r="1309" spans="1:3" x14ac:dyDescent="0.5">
      <c r="A1309" t="s">
        <v>1051</v>
      </c>
      <c r="B1309" t="s">
        <v>2147</v>
      </c>
      <c r="C1309" s="4" t="str">
        <f>IF(ISERROR(_xlfn.XMATCH(B1309,oldlist!B:B,0)),"not found","found")</f>
        <v>found</v>
      </c>
    </row>
    <row r="1310" spans="1:3" x14ac:dyDescent="0.5">
      <c r="A1310" t="s">
        <v>1051</v>
      </c>
      <c r="B1310" t="s">
        <v>1245</v>
      </c>
      <c r="C1310" s="4" t="str">
        <f>IF(ISERROR(_xlfn.XMATCH(B1310,oldlist!B:B,0)),"not found","found")</f>
        <v>found</v>
      </c>
    </row>
    <row r="1311" spans="1:3" x14ac:dyDescent="0.5">
      <c r="A1311" t="s">
        <v>1051</v>
      </c>
      <c r="B1311" t="s">
        <v>1213</v>
      </c>
      <c r="C1311" s="4" t="str">
        <f>IF(ISERROR(_xlfn.XMATCH(B1311,oldlist!B:B,0)),"not found","found")</f>
        <v>found</v>
      </c>
    </row>
    <row r="1312" spans="1:3" x14ac:dyDescent="0.5">
      <c r="A1312" t="s">
        <v>1051</v>
      </c>
      <c r="B1312" t="s">
        <v>2049</v>
      </c>
      <c r="C1312" s="4" t="str">
        <f>IF(ISERROR(_xlfn.XMATCH(B1312,oldlist!B:B,0)),"not found","found")</f>
        <v>found</v>
      </c>
    </row>
    <row r="1313" spans="1:3" x14ac:dyDescent="0.5">
      <c r="A1313" t="s">
        <v>1051</v>
      </c>
      <c r="B1313" t="s">
        <v>2099</v>
      </c>
      <c r="C1313" s="4" t="str">
        <f>IF(ISERROR(_xlfn.XMATCH(B1313,oldlist!B:B,0)),"not found","found")</f>
        <v>found</v>
      </c>
    </row>
    <row r="1314" spans="1:3" x14ac:dyDescent="0.5">
      <c r="A1314" t="s">
        <v>1051</v>
      </c>
      <c r="B1314" t="s">
        <v>1319</v>
      </c>
      <c r="C1314" s="4" t="str">
        <f>IF(ISERROR(_xlfn.XMATCH(B1314,oldlist!B:B,0)),"not found","found")</f>
        <v>found</v>
      </c>
    </row>
    <row r="1315" spans="1:3" x14ac:dyDescent="0.5">
      <c r="A1315" t="s">
        <v>1051</v>
      </c>
      <c r="B1315" t="s">
        <v>1903</v>
      </c>
      <c r="C1315" s="4" t="str">
        <f>IF(ISERROR(_xlfn.XMATCH(B1315,oldlist!B:B,0)),"not found","found")</f>
        <v>found</v>
      </c>
    </row>
    <row r="1316" spans="1:3" x14ac:dyDescent="0.5">
      <c r="A1316" t="s">
        <v>1051</v>
      </c>
      <c r="B1316" t="s">
        <v>1825</v>
      </c>
      <c r="C1316" s="4" t="str">
        <f>IF(ISERROR(_xlfn.XMATCH(B1316,oldlist!B:B,0)),"not found","found")</f>
        <v>found</v>
      </c>
    </row>
    <row r="1317" spans="1:3" x14ac:dyDescent="0.5">
      <c r="A1317" t="s">
        <v>1051</v>
      </c>
      <c r="B1317" t="s">
        <v>1105</v>
      </c>
      <c r="C1317" s="4" t="str">
        <f>IF(ISERROR(_xlfn.XMATCH(B1317,oldlist!B:B,0)),"not found","found")</f>
        <v>found</v>
      </c>
    </row>
    <row r="1318" spans="1:3" x14ac:dyDescent="0.5">
      <c r="A1318" t="s">
        <v>1051</v>
      </c>
      <c r="B1318" t="s">
        <v>2307</v>
      </c>
      <c r="C1318" s="4" t="str">
        <f>IF(ISERROR(_xlfn.XMATCH(B1318,oldlist!B:B,0)),"not found","found")</f>
        <v>found</v>
      </c>
    </row>
    <row r="1319" spans="1:3" x14ac:dyDescent="0.5">
      <c r="A1319" t="s">
        <v>1051</v>
      </c>
      <c r="B1319" t="s">
        <v>1375</v>
      </c>
      <c r="C1319" s="4" t="str">
        <f>IF(ISERROR(_xlfn.XMATCH(B1319,oldlist!B:B,0)),"not found","found")</f>
        <v>found</v>
      </c>
    </row>
    <row r="1320" spans="1:3" x14ac:dyDescent="0.5">
      <c r="A1320" t="s">
        <v>1051</v>
      </c>
      <c r="B1320" t="s">
        <v>2785</v>
      </c>
      <c r="C1320" s="4" t="str">
        <f>IF(ISERROR(_xlfn.XMATCH(B1320,oldlist!B:B,0)),"not found","found")</f>
        <v>not found</v>
      </c>
    </row>
    <row r="1321" spans="1:3" x14ac:dyDescent="0.5">
      <c r="A1321" t="s">
        <v>1051</v>
      </c>
      <c r="B1321" t="s">
        <v>1335</v>
      </c>
      <c r="C1321" s="4" t="str">
        <f>IF(ISERROR(_xlfn.XMATCH(B1321,oldlist!B:B,0)),"not found","found")</f>
        <v>found</v>
      </c>
    </row>
    <row r="1322" spans="1:3" x14ac:dyDescent="0.5">
      <c r="A1322" t="s">
        <v>1051</v>
      </c>
      <c r="B1322" t="s">
        <v>1837</v>
      </c>
      <c r="C1322" s="4" t="str">
        <f>IF(ISERROR(_xlfn.XMATCH(B1322,oldlist!B:B,0)),"not found","found")</f>
        <v>found</v>
      </c>
    </row>
    <row r="1323" spans="1:3" x14ac:dyDescent="0.5">
      <c r="A1323" t="s">
        <v>1051</v>
      </c>
      <c r="B1323" t="s">
        <v>2599</v>
      </c>
      <c r="C1323" s="4" t="str">
        <f>IF(ISERROR(_xlfn.XMATCH(B1323,oldlist!B:B,0)),"not found","found")</f>
        <v>not found</v>
      </c>
    </row>
    <row r="1324" spans="1:3" x14ac:dyDescent="0.5">
      <c r="A1324" t="s">
        <v>1051</v>
      </c>
      <c r="B1324" t="s">
        <v>1681</v>
      </c>
      <c r="C1324" s="4" t="str">
        <f>IF(ISERROR(_xlfn.XMATCH(B1324,oldlist!B:B,0)),"not found","found")</f>
        <v>found</v>
      </c>
    </row>
    <row r="1325" spans="1:3" x14ac:dyDescent="0.5">
      <c r="A1325" t="s">
        <v>1051</v>
      </c>
      <c r="B1325" t="s">
        <v>1709</v>
      </c>
      <c r="C1325" s="4" t="str">
        <f>IF(ISERROR(_xlfn.XMATCH(B1325,oldlist!B:B,0)),"not found","found")</f>
        <v>found</v>
      </c>
    </row>
    <row r="1326" spans="1:3" x14ac:dyDescent="0.5">
      <c r="A1326" t="s">
        <v>1051</v>
      </c>
      <c r="B1326" t="s">
        <v>1453</v>
      </c>
      <c r="C1326" s="4" t="str">
        <f>IF(ISERROR(_xlfn.XMATCH(B1326,oldlist!B:B,0)),"not found","found")</f>
        <v>found</v>
      </c>
    </row>
    <row r="1327" spans="1:3" x14ac:dyDescent="0.5">
      <c r="A1327" t="s">
        <v>1051</v>
      </c>
      <c r="B1327" t="s">
        <v>1655</v>
      </c>
      <c r="C1327" s="4" t="str">
        <f>IF(ISERROR(_xlfn.XMATCH(B1327,oldlist!B:B,0)),"not found","found")</f>
        <v>found</v>
      </c>
    </row>
    <row r="1328" spans="1:3" x14ac:dyDescent="0.5">
      <c r="A1328" t="s">
        <v>1051</v>
      </c>
      <c r="B1328" t="s">
        <v>2671</v>
      </c>
      <c r="C1328" s="4" t="str">
        <f>IF(ISERROR(_xlfn.XMATCH(B1328,oldlist!B:B,0)),"not found","found")</f>
        <v>found</v>
      </c>
    </row>
    <row r="1329" spans="1:3" x14ac:dyDescent="0.5">
      <c r="A1329" t="s">
        <v>1051</v>
      </c>
      <c r="B1329" t="s">
        <v>1957</v>
      </c>
      <c r="C1329" s="4" t="str">
        <f>IF(ISERROR(_xlfn.XMATCH(B1329,oldlist!B:B,0)),"not found","found")</f>
        <v>found</v>
      </c>
    </row>
    <row r="1330" spans="1:3" x14ac:dyDescent="0.5">
      <c r="A1330" t="s">
        <v>1051</v>
      </c>
      <c r="B1330" t="s">
        <v>2079</v>
      </c>
      <c r="C1330" s="4" t="str">
        <f>IF(ISERROR(_xlfn.XMATCH(B1330,oldlist!B:B,0)),"not found","found")</f>
        <v>found</v>
      </c>
    </row>
    <row r="1331" spans="1:3" x14ac:dyDescent="0.5">
      <c r="A1331" t="s">
        <v>1051</v>
      </c>
      <c r="B1331" t="s">
        <v>1383</v>
      </c>
      <c r="C1331" s="4" t="str">
        <f>IF(ISERROR(_xlfn.XMATCH(B1331,oldlist!B:B,0)),"not found","found")</f>
        <v>found</v>
      </c>
    </row>
    <row r="1332" spans="1:3" x14ac:dyDescent="0.5">
      <c r="A1332" t="s">
        <v>1051</v>
      </c>
      <c r="B1332" t="s">
        <v>2247</v>
      </c>
      <c r="C1332" s="4" t="str">
        <f>IF(ISERROR(_xlfn.XMATCH(B1332,oldlist!B:B,0)),"not found","found")</f>
        <v>found</v>
      </c>
    </row>
    <row r="1333" spans="1:3" x14ac:dyDescent="0.5">
      <c r="A1333" t="s">
        <v>1051</v>
      </c>
      <c r="B1333" t="s">
        <v>1059</v>
      </c>
      <c r="C1333" s="4" t="str">
        <f>IF(ISERROR(_xlfn.XMATCH(B1333,oldlist!B:B,0)),"not found","found")</f>
        <v>found</v>
      </c>
    </row>
    <row r="1334" spans="1:3" x14ac:dyDescent="0.5">
      <c r="A1334" t="s">
        <v>1051</v>
      </c>
      <c r="B1334" t="s">
        <v>1465</v>
      </c>
      <c r="C1334" s="4" t="str">
        <f>IF(ISERROR(_xlfn.XMATCH(B1334,oldlist!B:B,0)),"not found","found")</f>
        <v>found</v>
      </c>
    </row>
    <row r="1335" spans="1:3" x14ac:dyDescent="0.5">
      <c r="A1335" t="s">
        <v>1051</v>
      </c>
      <c r="B1335" t="s">
        <v>2177</v>
      </c>
      <c r="C1335" s="4" t="str">
        <f>IF(ISERROR(_xlfn.XMATCH(B1335,oldlist!B:B,0)),"not found","found")</f>
        <v>found</v>
      </c>
    </row>
    <row r="1336" spans="1:3" x14ac:dyDescent="0.5">
      <c r="A1336" t="s">
        <v>1051</v>
      </c>
      <c r="B1336" t="s">
        <v>1509</v>
      </c>
      <c r="C1336" s="4" t="str">
        <f>IF(ISERROR(_xlfn.XMATCH(B1336,oldlist!B:B,0)),"not found","found")</f>
        <v>found</v>
      </c>
    </row>
    <row r="1337" spans="1:3" x14ac:dyDescent="0.5">
      <c r="A1337" t="s">
        <v>1051</v>
      </c>
      <c r="B1337" t="s">
        <v>2509</v>
      </c>
      <c r="C1337" s="4" t="str">
        <f>IF(ISERROR(_xlfn.XMATCH(B1337,oldlist!B:B,0)),"not found","found")</f>
        <v>found</v>
      </c>
    </row>
    <row r="1338" spans="1:3" x14ac:dyDescent="0.5">
      <c r="A1338" t="s">
        <v>1051</v>
      </c>
      <c r="B1338" t="s">
        <v>1185</v>
      </c>
      <c r="C1338" s="4" t="str">
        <f>IF(ISERROR(_xlfn.XMATCH(B1338,oldlist!B:B,0)),"not found","found")</f>
        <v>found</v>
      </c>
    </row>
    <row r="1339" spans="1:3" x14ac:dyDescent="0.5">
      <c r="A1339" t="s">
        <v>1051</v>
      </c>
      <c r="B1339" t="s">
        <v>1475</v>
      </c>
      <c r="C1339" s="4" t="str">
        <f>IF(ISERROR(_xlfn.XMATCH(B1339,oldlist!B:B,0)),"not found","found")</f>
        <v>found</v>
      </c>
    </row>
    <row r="1340" spans="1:3" x14ac:dyDescent="0.5">
      <c r="A1340" t="s">
        <v>1051</v>
      </c>
      <c r="B1340" t="s">
        <v>1169</v>
      </c>
      <c r="C1340" s="4" t="str">
        <f>IF(ISERROR(_xlfn.XMATCH(B1340,oldlist!B:B,0)),"not found","found")</f>
        <v>found</v>
      </c>
    </row>
    <row r="1341" spans="1:3" x14ac:dyDescent="0.5">
      <c r="A1341" t="s">
        <v>1051</v>
      </c>
      <c r="B1341" t="s">
        <v>1603</v>
      </c>
      <c r="C1341" s="4" t="str">
        <f>IF(ISERROR(_xlfn.XMATCH(B1341,oldlist!B:B,0)),"not found","found")</f>
        <v>found</v>
      </c>
    </row>
    <row r="1342" spans="1:3" x14ac:dyDescent="0.5">
      <c r="A1342" t="s">
        <v>1051</v>
      </c>
      <c r="B1342" t="s">
        <v>1189</v>
      </c>
      <c r="C1342" s="4" t="str">
        <f>IF(ISERROR(_xlfn.XMATCH(B1342,oldlist!B:B,0)),"not found","found")</f>
        <v>found</v>
      </c>
    </row>
    <row r="1343" spans="1:3" x14ac:dyDescent="0.5">
      <c r="A1343" t="s">
        <v>1051</v>
      </c>
      <c r="B1343" t="s">
        <v>1193</v>
      </c>
      <c r="C1343" s="4" t="str">
        <f>IF(ISERROR(_xlfn.XMATCH(B1343,oldlist!B:B,0)),"not found","found")</f>
        <v>found</v>
      </c>
    </row>
    <row r="1344" spans="1:3" x14ac:dyDescent="0.5">
      <c r="A1344" t="s">
        <v>1051</v>
      </c>
      <c r="B1344" t="s">
        <v>1961</v>
      </c>
      <c r="C1344" s="4" t="str">
        <f>IF(ISERROR(_xlfn.XMATCH(B1344,oldlist!B:B,0)),"not found","found")</f>
        <v>found</v>
      </c>
    </row>
    <row r="1345" spans="1:3" x14ac:dyDescent="0.5">
      <c r="A1345" t="s">
        <v>1051</v>
      </c>
      <c r="B1345" t="s">
        <v>1937</v>
      </c>
      <c r="C1345" s="4" t="str">
        <f>IF(ISERROR(_xlfn.XMATCH(B1345,oldlist!B:B,0)),"not found","found")</f>
        <v>found</v>
      </c>
    </row>
    <row r="1346" spans="1:3" x14ac:dyDescent="0.5">
      <c r="A1346" t="s">
        <v>1051</v>
      </c>
      <c r="B1346" t="s">
        <v>1541</v>
      </c>
      <c r="C1346" s="4" t="str">
        <f>IF(ISERROR(_xlfn.XMATCH(B1346,oldlist!B:B,0)),"not found","found")</f>
        <v>found</v>
      </c>
    </row>
    <row r="1347" spans="1:3" x14ac:dyDescent="0.5">
      <c r="A1347" t="s">
        <v>1051</v>
      </c>
      <c r="B1347" t="s">
        <v>1211</v>
      </c>
      <c r="C1347" s="4" t="str">
        <f>IF(ISERROR(_xlfn.XMATCH(B1347,oldlist!B:B,0)),"not found","found")</f>
        <v>found</v>
      </c>
    </row>
    <row r="1348" spans="1:3" x14ac:dyDescent="0.5">
      <c r="A1348" t="s">
        <v>1051</v>
      </c>
      <c r="B1348" t="s">
        <v>2091</v>
      </c>
      <c r="C1348" s="4" t="str">
        <f>IF(ISERROR(_xlfn.XMATCH(B1348,oldlist!B:B,0)),"not found","found")</f>
        <v>found</v>
      </c>
    </row>
    <row r="1349" spans="1:3" x14ac:dyDescent="0.5">
      <c r="A1349" t="s">
        <v>1051</v>
      </c>
      <c r="B1349" t="s">
        <v>2269</v>
      </c>
      <c r="C1349" s="4" t="str">
        <f>IF(ISERROR(_xlfn.XMATCH(B1349,oldlist!B:B,0)),"not found","found")</f>
        <v>found</v>
      </c>
    </row>
    <row r="1350" spans="1:3" x14ac:dyDescent="0.5">
      <c r="A1350" t="s">
        <v>1051</v>
      </c>
      <c r="B1350" t="s">
        <v>1819</v>
      </c>
      <c r="C1350" s="4" t="str">
        <f>IF(ISERROR(_xlfn.XMATCH(B1350,oldlist!B:B,0)),"not found","found")</f>
        <v>found</v>
      </c>
    </row>
    <row r="1351" spans="1:3" x14ac:dyDescent="0.5">
      <c r="A1351" t="s">
        <v>1051</v>
      </c>
      <c r="B1351" t="s">
        <v>1239</v>
      </c>
      <c r="C1351" s="4" t="str">
        <f>IF(ISERROR(_xlfn.XMATCH(B1351,oldlist!B:B,0)),"not found","found")</f>
        <v>found</v>
      </c>
    </row>
    <row r="1352" spans="1:3" x14ac:dyDescent="0.5">
      <c r="A1352" t="s">
        <v>1051</v>
      </c>
      <c r="B1352" t="s">
        <v>1443</v>
      </c>
      <c r="C1352" s="4" t="str">
        <f>IF(ISERROR(_xlfn.XMATCH(B1352,oldlist!B:B,0)),"not found","found")</f>
        <v>found</v>
      </c>
    </row>
    <row r="1353" spans="1:3" x14ac:dyDescent="0.5">
      <c r="A1353" t="s">
        <v>1051</v>
      </c>
      <c r="B1353" t="s">
        <v>1645</v>
      </c>
      <c r="C1353" s="4" t="str">
        <f>IF(ISERROR(_xlfn.XMATCH(B1353,oldlist!B:B,0)),"not found","found")</f>
        <v>found</v>
      </c>
    </row>
    <row r="1354" spans="1:3" x14ac:dyDescent="0.5">
      <c r="A1354" t="s">
        <v>1051</v>
      </c>
      <c r="B1354" t="s">
        <v>2407</v>
      </c>
      <c r="C1354" s="4" t="str">
        <f>IF(ISERROR(_xlfn.XMATCH(B1354,oldlist!B:B,0)),"not found","found")</f>
        <v>not found</v>
      </c>
    </row>
    <row r="1355" spans="1:3" x14ac:dyDescent="0.5">
      <c r="A1355" t="s">
        <v>1051</v>
      </c>
      <c r="B1355" t="s">
        <v>1153</v>
      </c>
      <c r="C1355" s="4" t="str">
        <f>IF(ISERROR(_xlfn.XMATCH(B1355,oldlist!B:B,0)),"not found","found")</f>
        <v>found</v>
      </c>
    </row>
    <row r="1356" spans="1:3" x14ac:dyDescent="0.5">
      <c r="A1356" t="s">
        <v>1051</v>
      </c>
      <c r="B1356" t="s">
        <v>2557</v>
      </c>
      <c r="C1356" s="4" t="str">
        <f>IF(ISERROR(_xlfn.XMATCH(B1356,oldlist!B:B,0)),"not found","found")</f>
        <v>found</v>
      </c>
    </row>
    <row r="1357" spans="1:3" x14ac:dyDescent="0.5">
      <c r="A1357" t="s">
        <v>1051</v>
      </c>
      <c r="B1357" t="s">
        <v>1201</v>
      </c>
      <c r="C1357" s="4" t="str">
        <f>IF(ISERROR(_xlfn.XMATCH(B1357,oldlist!B:B,0)),"not found","found")</f>
        <v>found</v>
      </c>
    </row>
    <row r="1358" spans="1:3" x14ac:dyDescent="0.5">
      <c r="A1358" t="s">
        <v>1051</v>
      </c>
      <c r="B1358" t="s">
        <v>1127</v>
      </c>
      <c r="C1358" s="4" t="str">
        <f>IF(ISERROR(_xlfn.XMATCH(B1358,oldlist!B:B,0)),"not found","found")</f>
        <v>found</v>
      </c>
    </row>
    <row r="1359" spans="1:3" x14ac:dyDescent="0.5">
      <c r="A1359" t="s">
        <v>1051</v>
      </c>
      <c r="B1359" t="s">
        <v>2693</v>
      </c>
      <c r="C1359" s="4" t="str">
        <f>IF(ISERROR(_xlfn.XMATCH(B1359,oldlist!B:B,0)),"not found","found")</f>
        <v>not found</v>
      </c>
    </row>
    <row r="1360" spans="1:3" x14ac:dyDescent="0.5">
      <c r="A1360" t="s">
        <v>1051</v>
      </c>
      <c r="B1360" t="s">
        <v>1303</v>
      </c>
      <c r="C1360" s="4" t="str">
        <f>IF(ISERROR(_xlfn.XMATCH(B1360,oldlist!B:B,0)),"not found","found")</f>
        <v>found</v>
      </c>
    </row>
    <row r="1361" spans="1:3" x14ac:dyDescent="0.5">
      <c r="A1361" t="s">
        <v>1051</v>
      </c>
      <c r="B1361" t="s">
        <v>1533</v>
      </c>
      <c r="C1361" s="4" t="str">
        <f>IF(ISERROR(_xlfn.XMATCH(B1361,oldlist!B:B,0)),"not found","found")</f>
        <v>found</v>
      </c>
    </row>
    <row r="1362" spans="1:3" x14ac:dyDescent="0.5">
      <c r="A1362" t="s">
        <v>1051</v>
      </c>
      <c r="B1362" t="s">
        <v>1835</v>
      </c>
      <c r="C1362" s="4" t="str">
        <f>IF(ISERROR(_xlfn.XMATCH(B1362,oldlist!B:B,0)),"not found","found")</f>
        <v>found</v>
      </c>
    </row>
    <row r="1363" spans="1:3" x14ac:dyDescent="0.5">
      <c r="A1363" t="s">
        <v>1051</v>
      </c>
      <c r="B1363" t="s">
        <v>2037</v>
      </c>
      <c r="C1363" s="4" t="str">
        <f>IF(ISERROR(_xlfn.XMATCH(B1363,oldlist!B:B,0)),"not found","found")</f>
        <v>found</v>
      </c>
    </row>
    <row r="1364" spans="1:3" x14ac:dyDescent="0.5">
      <c r="A1364" t="s">
        <v>1051</v>
      </c>
      <c r="B1364" t="s">
        <v>1865</v>
      </c>
      <c r="C1364" s="4" t="str">
        <f>IF(ISERROR(_xlfn.XMATCH(B1364,oldlist!B:B,0)),"not found","found")</f>
        <v>found</v>
      </c>
    </row>
    <row r="1365" spans="1:3" x14ac:dyDescent="0.5">
      <c r="A1365" t="s">
        <v>1051</v>
      </c>
      <c r="B1365" t="s">
        <v>1137</v>
      </c>
      <c r="C1365" s="4" t="str">
        <f>IF(ISERROR(_xlfn.XMATCH(B1365,oldlist!B:B,0)),"not found","found")</f>
        <v>found</v>
      </c>
    </row>
    <row r="1366" spans="1:3" x14ac:dyDescent="0.5">
      <c r="A1366" t="s">
        <v>1051</v>
      </c>
      <c r="B1366" t="s">
        <v>1423</v>
      </c>
      <c r="C1366" s="4" t="str">
        <f>IF(ISERROR(_xlfn.XMATCH(B1366,oldlist!B:B,0)),"not found","found")</f>
        <v>found</v>
      </c>
    </row>
    <row r="1367" spans="1:3" x14ac:dyDescent="0.5">
      <c r="A1367" t="s">
        <v>1051</v>
      </c>
      <c r="B1367" t="s">
        <v>1313</v>
      </c>
      <c r="C1367" s="4" t="str">
        <f>IF(ISERROR(_xlfn.XMATCH(B1367,oldlist!B:B,0)),"not found","found")</f>
        <v>found</v>
      </c>
    </row>
    <row r="1368" spans="1:3" x14ac:dyDescent="0.5">
      <c r="A1368" t="s">
        <v>1051</v>
      </c>
      <c r="B1368" t="s">
        <v>1415</v>
      </c>
      <c r="C1368" s="4" t="str">
        <f>IF(ISERROR(_xlfn.XMATCH(B1368,oldlist!B:B,0)),"not found","found")</f>
        <v>found</v>
      </c>
    </row>
    <row r="1369" spans="1:3" x14ac:dyDescent="0.5">
      <c r="A1369" t="s">
        <v>1051</v>
      </c>
      <c r="B1369" t="s">
        <v>2583</v>
      </c>
      <c r="C1369" s="4" t="str">
        <f>IF(ISERROR(_xlfn.XMATCH(B1369,oldlist!B:B,0)),"not found","found")</f>
        <v>not found</v>
      </c>
    </row>
    <row r="1370" spans="1:3" x14ac:dyDescent="0.5">
      <c r="A1370" t="s">
        <v>1051</v>
      </c>
      <c r="B1370" t="s">
        <v>2121</v>
      </c>
      <c r="C1370" s="4" t="str">
        <f>IF(ISERROR(_xlfn.XMATCH(B1370,oldlist!B:B,0)),"not found","found")</f>
        <v>not found</v>
      </c>
    </row>
  </sheetData>
  <sortState xmlns:xlrd2="http://schemas.microsoft.com/office/spreadsheetml/2017/richdata2" ref="A2:C1371">
    <sortCondition ref="A2:A1371"/>
    <sortCondition ref="B2:B13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38A6-5335-45DC-8234-3FD15F656FA5}">
  <sheetPr filterMode="1"/>
  <dimension ref="A1:C1213"/>
  <sheetViews>
    <sheetView workbookViewId="0">
      <pane ySplit="1" topLeftCell="A2" activePane="bottomLeft" state="frozen"/>
      <selection pane="bottomLeft" activeCell="B384" sqref="B384"/>
    </sheetView>
  </sheetViews>
  <sheetFormatPr defaultRowHeight="14.35" x14ac:dyDescent="0.5"/>
  <cols>
    <col min="1" max="1" width="9.52734375" customWidth="1"/>
    <col min="3" max="3" width="8.9375" style="4"/>
  </cols>
  <sheetData>
    <row r="1" spans="1:3" s="2" customFormat="1" x14ac:dyDescent="0.5">
      <c r="A1" s="2" t="s">
        <v>2816</v>
      </c>
      <c r="B1" s="2" t="s">
        <v>0</v>
      </c>
      <c r="C1" s="3" t="s">
        <v>2821</v>
      </c>
    </row>
    <row r="2" spans="1:3" hidden="1" x14ac:dyDescent="0.5">
      <c r="A2" t="s">
        <v>2817</v>
      </c>
      <c r="B2" t="s">
        <v>393</v>
      </c>
      <c r="C2" s="4" t="str">
        <f>IF(ISERROR(_xlfn.XMATCH(B2,newlist!B:B,0)),"not found","found")</f>
        <v>found</v>
      </c>
    </row>
    <row r="3" spans="1:3" hidden="1" x14ac:dyDescent="0.5">
      <c r="A3" t="s">
        <v>2817</v>
      </c>
      <c r="B3" t="s">
        <v>245</v>
      </c>
      <c r="C3" s="4" t="str">
        <f>IF(ISERROR(_xlfn.XMATCH(B3,newlist!B:B,0)),"not found","found")</f>
        <v>found</v>
      </c>
    </row>
    <row r="4" spans="1:3" hidden="1" x14ac:dyDescent="0.5">
      <c r="A4" t="s">
        <v>2817</v>
      </c>
      <c r="B4" t="s">
        <v>97</v>
      </c>
      <c r="C4" s="4" t="str">
        <f>IF(ISERROR(_xlfn.XMATCH(B4,newlist!B:B,0)),"not found","found")</f>
        <v>found</v>
      </c>
    </row>
    <row r="5" spans="1:3" hidden="1" x14ac:dyDescent="0.5">
      <c r="A5" t="s">
        <v>2817</v>
      </c>
      <c r="B5" t="s">
        <v>460</v>
      </c>
      <c r="C5" s="4" t="str">
        <f>IF(ISERROR(_xlfn.XMATCH(B5,newlist!B:B,0)),"not found","found")</f>
        <v>found</v>
      </c>
    </row>
    <row r="6" spans="1:3" hidden="1" x14ac:dyDescent="0.5">
      <c r="A6" t="s">
        <v>2817</v>
      </c>
      <c r="B6" t="s">
        <v>879</v>
      </c>
      <c r="C6" s="4" t="str">
        <f>IF(ISERROR(_xlfn.XMATCH(B6,newlist!B:B,0)),"not found","found")</f>
        <v>found</v>
      </c>
    </row>
    <row r="7" spans="1:3" hidden="1" x14ac:dyDescent="0.5">
      <c r="A7" t="s">
        <v>2817</v>
      </c>
      <c r="B7" t="s">
        <v>287</v>
      </c>
      <c r="C7" s="4" t="str">
        <f>IF(ISERROR(_xlfn.XMATCH(B7,newlist!B:B,0)),"not found","found")</f>
        <v>found</v>
      </c>
    </row>
    <row r="8" spans="1:3" hidden="1" x14ac:dyDescent="0.5">
      <c r="A8" t="s">
        <v>2817</v>
      </c>
      <c r="B8" t="s">
        <v>1036</v>
      </c>
      <c r="C8" s="4" t="str">
        <f>IF(ISERROR(_xlfn.XMATCH(B8,newlist!B:B,0)),"not found","found")</f>
        <v>found</v>
      </c>
    </row>
    <row r="9" spans="1:3" hidden="1" x14ac:dyDescent="0.5">
      <c r="A9" t="s">
        <v>2817</v>
      </c>
      <c r="B9" t="s">
        <v>749</v>
      </c>
      <c r="C9" s="4" t="str">
        <f>IF(ISERROR(_xlfn.XMATCH(B9,newlist!B:B,0)),"not found","found")</f>
        <v>found</v>
      </c>
    </row>
    <row r="10" spans="1:3" hidden="1" x14ac:dyDescent="0.5">
      <c r="A10" t="s">
        <v>2817</v>
      </c>
      <c r="B10" t="s">
        <v>233</v>
      </c>
      <c r="C10" s="4" t="str">
        <f>IF(ISERROR(_xlfn.XMATCH(B10,newlist!B:B,0)),"not found","found")</f>
        <v>found</v>
      </c>
    </row>
    <row r="11" spans="1:3" hidden="1" x14ac:dyDescent="0.5">
      <c r="A11" t="s">
        <v>2817</v>
      </c>
      <c r="B11" t="s">
        <v>267</v>
      </c>
      <c r="C11" s="4" t="str">
        <f>IF(ISERROR(_xlfn.XMATCH(B11,newlist!B:B,0)),"not found","found")</f>
        <v>found</v>
      </c>
    </row>
    <row r="12" spans="1:3" hidden="1" x14ac:dyDescent="0.5">
      <c r="A12" t="s">
        <v>2817</v>
      </c>
      <c r="B12" t="s">
        <v>206</v>
      </c>
      <c r="C12" s="4" t="str">
        <f>IF(ISERROR(_xlfn.XMATCH(B12,newlist!B:B,0)),"not found","found")</f>
        <v>found</v>
      </c>
    </row>
    <row r="13" spans="1:3" hidden="1" x14ac:dyDescent="0.5">
      <c r="A13" t="s">
        <v>2817</v>
      </c>
      <c r="B13" t="s">
        <v>163</v>
      </c>
      <c r="C13" s="4" t="str">
        <f>IF(ISERROR(_xlfn.XMATCH(B13,newlist!B:B,0)),"not found","found")</f>
        <v>found</v>
      </c>
    </row>
    <row r="14" spans="1:3" hidden="1" x14ac:dyDescent="0.5">
      <c r="A14" t="s">
        <v>2817</v>
      </c>
      <c r="B14" t="s">
        <v>971</v>
      </c>
      <c r="C14" s="4" t="str">
        <f>IF(ISERROR(_xlfn.XMATCH(B14,newlist!B:B,0)),"not found","found")</f>
        <v>found</v>
      </c>
    </row>
    <row r="15" spans="1:3" hidden="1" x14ac:dyDescent="0.5">
      <c r="A15" t="s">
        <v>2817</v>
      </c>
      <c r="B15" t="s">
        <v>239</v>
      </c>
      <c r="C15" s="4" t="str">
        <f>IF(ISERROR(_xlfn.XMATCH(B15,newlist!B:B,0)),"not found","found")</f>
        <v>found</v>
      </c>
    </row>
    <row r="16" spans="1:3" hidden="1" x14ac:dyDescent="0.5">
      <c r="A16" t="s">
        <v>2817</v>
      </c>
      <c r="B16" t="s">
        <v>169</v>
      </c>
      <c r="C16" s="4" t="str">
        <f>IF(ISERROR(_xlfn.XMATCH(B16,newlist!B:B,0)),"not found","found")</f>
        <v>found</v>
      </c>
    </row>
    <row r="17" spans="1:3" hidden="1" x14ac:dyDescent="0.5">
      <c r="A17" t="s">
        <v>2817</v>
      </c>
      <c r="B17" t="s">
        <v>175</v>
      </c>
      <c r="C17" s="4" t="str">
        <f>IF(ISERROR(_xlfn.XMATCH(B17,newlist!B:B,0)),"not found","found")</f>
        <v>found</v>
      </c>
    </row>
    <row r="18" spans="1:3" hidden="1" x14ac:dyDescent="0.5">
      <c r="A18" t="s">
        <v>2817</v>
      </c>
      <c r="B18" t="s">
        <v>419</v>
      </c>
      <c r="C18" s="4" t="str">
        <f>IF(ISERROR(_xlfn.XMATCH(B18,newlist!B:B,0)),"not found","found")</f>
        <v>found</v>
      </c>
    </row>
    <row r="19" spans="1:3" hidden="1" x14ac:dyDescent="0.5">
      <c r="A19" t="s">
        <v>2817</v>
      </c>
      <c r="B19" t="s">
        <v>409</v>
      </c>
      <c r="C19" s="4" t="str">
        <f>IF(ISERROR(_xlfn.XMATCH(B19,newlist!B:B,0)),"not found","found")</f>
        <v>found</v>
      </c>
    </row>
    <row r="20" spans="1:3" hidden="1" x14ac:dyDescent="0.5">
      <c r="A20" t="s">
        <v>2817</v>
      </c>
      <c r="B20" t="s">
        <v>484</v>
      </c>
      <c r="C20" s="4" t="str">
        <f>IF(ISERROR(_xlfn.XMATCH(B20,newlist!B:B,0)),"not found","found")</f>
        <v>found</v>
      </c>
    </row>
    <row r="21" spans="1:3" hidden="1" x14ac:dyDescent="0.5">
      <c r="A21" t="s">
        <v>2817</v>
      </c>
      <c r="B21" t="s">
        <v>190</v>
      </c>
      <c r="C21" s="4" t="str">
        <f>IF(ISERROR(_xlfn.XMATCH(B21,newlist!B:B,0)),"not found","found")</f>
        <v>found</v>
      </c>
    </row>
    <row r="22" spans="1:3" hidden="1" x14ac:dyDescent="0.5">
      <c r="A22" t="s">
        <v>2817</v>
      </c>
      <c r="B22" t="s">
        <v>20</v>
      </c>
      <c r="C22" s="4" t="str">
        <f>IF(ISERROR(_xlfn.XMATCH(B22,newlist!B:B,0)),"not found","found")</f>
        <v>found</v>
      </c>
    </row>
    <row r="23" spans="1:3" hidden="1" x14ac:dyDescent="0.5">
      <c r="A23" t="s">
        <v>2817</v>
      </c>
      <c r="B23" t="s">
        <v>941</v>
      </c>
      <c r="C23" s="4" t="str">
        <f>IF(ISERROR(_xlfn.XMATCH(B23,newlist!B:B,0)),"not found","found")</f>
        <v>found</v>
      </c>
    </row>
    <row r="24" spans="1:3" hidden="1" x14ac:dyDescent="0.5">
      <c r="A24" t="s">
        <v>2817</v>
      </c>
      <c r="B24" t="s">
        <v>26</v>
      </c>
      <c r="C24" s="4" t="str">
        <f>IF(ISERROR(_xlfn.XMATCH(B24,newlist!B:B,0)),"not found","found")</f>
        <v>found</v>
      </c>
    </row>
    <row r="25" spans="1:3" hidden="1" x14ac:dyDescent="0.5">
      <c r="A25" t="s">
        <v>2817</v>
      </c>
      <c r="B25" t="s">
        <v>277</v>
      </c>
      <c r="C25" s="4" t="str">
        <f>IF(ISERROR(_xlfn.XMATCH(B25,newlist!B:B,0)),"not found","found")</f>
        <v>found</v>
      </c>
    </row>
    <row r="26" spans="1:3" hidden="1" x14ac:dyDescent="0.5">
      <c r="A26" t="s">
        <v>2817</v>
      </c>
      <c r="B26" t="s">
        <v>143</v>
      </c>
      <c r="C26" s="4" t="str">
        <f>IF(ISERROR(_xlfn.XMATCH(B26,newlist!B:B,0)),"not found","found")</f>
        <v>found</v>
      </c>
    </row>
    <row r="27" spans="1:3" hidden="1" x14ac:dyDescent="0.5">
      <c r="A27" t="s">
        <v>2817</v>
      </c>
      <c r="B27" t="s">
        <v>325</v>
      </c>
      <c r="C27" s="4" t="str">
        <f>IF(ISERROR(_xlfn.XMATCH(B27,newlist!B:B,0)),"not found","found")</f>
        <v>found</v>
      </c>
    </row>
    <row r="28" spans="1:3" hidden="1" x14ac:dyDescent="0.5">
      <c r="A28" t="s">
        <v>2817</v>
      </c>
      <c r="B28" t="s">
        <v>827</v>
      </c>
      <c r="C28" s="4" t="str">
        <f>IF(ISERROR(_xlfn.XMATCH(B28,newlist!B:B,0)),"not found","found")</f>
        <v>found</v>
      </c>
    </row>
    <row r="29" spans="1:3" hidden="1" x14ac:dyDescent="0.5">
      <c r="A29" t="s">
        <v>2817</v>
      </c>
      <c r="B29" t="s">
        <v>854</v>
      </c>
      <c r="C29" s="4" t="str">
        <f>IF(ISERROR(_xlfn.XMATCH(B29,newlist!B:B,0)),"not found","found")</f>
        <v>found</v>
      </c>
    </row>
    <row r="30" spans="1:3" hidden="1" x14ac:dyDescent="0.5">
      <c r="A30" t="s">
        <v>2817</v>
      </c>
      <c r="B30" t="s">
        <v>65</v>
      </c>
      <c r="C30" s="4" t="str">
        <f>IF(ISERROR(_xlfn.XMATCH(B30,newlist!B:B,0)),"not found","found")</f>
        <v>found</v>
      </c>
    </row>
    <row r="31" spans="1:3" hidden="1" x14ac:dyDescent="0.5">
      <c r="A31" t="s">
        <v>2817</v>
      </c>
      <c r="B31" t="s">
        <v>387</v>
      </c>
      <c r="C31" s="4" t="str">
        <f>IF(ISERROR(_xlfn.XMATCH(B31,newlist!B:B,0)),"not found","found")</f>
        <v>found</v>
      </c>
    </row>
    <row r="32" spans="1:3" hidden="1" x14ac:dyDescent="0.5">
      <c r="A32" t="s">
        <v>2817</v>
      </c>
      <c r="B32" t="s">
        <v>367</v>
      </c>
      <c r="C32" s="4" t="str">
        <f>IF(ISERROR(_xlfn.XMATCH(B32,newlist!B:B,0)),"not found","found")</f>
        <v>found</v>
      </c>
    </row>
    <row r="33" spans="1:3" hidden="1" x14ac:dyDescent="0.5">
      <c r="A33" t="s">
        <v>2817</v>
      </c>
      <c r="B33" t="s">
        <v>111</v>
      </c>
      <c r="C33" s="4" t="str">
        <f>IF(ISERROR(_xlfn.XMATCH(B33,newlist!B:B,0)),"not found","found")</f>
        <v>found</v>
      </c>
    </row>
    <row r="34" spans="1:3" hidden="1" x14ac:dyDescent="0.5">
      <c r="A34" t="s">
        <v>2817</v>
      </c>
      <c r="B34" t="s">
        <v>251</v>
      </c>
      <c r="C34" s="4" t="str">
        <f>IF(ISERROR(_xlfn.XMATCH(B34,newlist!B:B,0)),"not found","found")</f>
        <v>found</v>
      </c>
    </row>
    <row r="35" spans="1:3" hidden="1" x14ac:dyDescent="0.5">
      <c r="A35" t="s">
        <v>2817</v>
      </c>
      <c r="B35" t="s">
        <v>881</v>
      </c>
      <c r="C35" s="4" t="str">
        <f>IF(ISERROR(_xlfn.XMATCH(B35,newlist!B:B,0)),"not found","found")</f>
        <v>found</v>
      </c>
    </row>
    <row r="36" spans="1:3" hidden="1" x14ac:dyDescent="0.5">
      <c r="A36" t="s">
        <v>2817</v>
      </c>
      <c r="B36" t="s">
        <v>417</v>
      </c>
      <c r="C36" s="4" t="str">
        <f>IF(ISERROR(_xlfn.XMATCH(B36,newlist!B:B,0)),"not found","found")</f>
        <v>found</v>
      </c>
    </row>
    <row r="37" spans="1:3" hidden="1" x14ac:dyDescent="0.5">
      <c r="A37" t="s">
        <v>2817</v>
      </c>
      <c r="B37" t="s">
        <v>194</v>
      </c>
      <c r="C37" s="4" t="str">
        <f>IF(ISERROR(_xlfn.XMATCH(B37,newlist!B:B,0)),"not found","found")</f>
        <v>found</v>
      </c>
    </row>
    <row r="38" spans="1:3" hidden="1" x14ac:dyDescent="0.5">
      <c r="A38" t="s">
        <v>2817</v>
      </c>
      <c r="B38" t="s">
        <v>289</v>
      </c>
      <c r="C38" s="4" t="str">
        <f>IF(ISERROR(_xlfn.XMATCH(B38,newlist!B:B,0)),"not found","found")</f>
        <v>found</v>
      </c>
    </row>
    <row r="39" spans="1:3" hidden="1" x14ac:dyDescent="0.5">
      <c r="A39" t="s">
        <v>2817</v>
      </c>
      <c r="B39" t="s">
        <v>285</v>
      </c>
      <c r="C39" s="4" t="str">
        <f>IF(ISERROR(_xlfn.XMATCH(B39,newlist!B:B,0)),"not found","found")</f>
        <v>found</v>
      </c>
    </row>
    <row r="40" spans="1:3" hidden="1" x14ac:dyDescent="0.5">
      <c r="A40" t="s">
        <v>2817</v>
      </c>
      <c r="B40" t="s">
        <v>911</v>
      </c>
      <c r="C40" s="4" t="str">
        <f>IF(ISERROR(_xlfn.XMATCH(B40,newlist!B:B,0)),"not found","found")</f>
        <v>found</v>
      </c>
    </row>
    <row r="41" spans="1:3" hidden="1" x14ac:dyDescent="0.5">
      <c r="A41" t="s">
        <v>2817</v>
      </c>
      <c r="B41" t="s">
        <v>616</v>
      </c>
      <c r="C41" s="4" t="str">
        <f>IF(ISERROR(_xlfn.XMATCH(B41,newlist!B:B,0)),"not found","found")</f>
        <v>found</v>
      </c>
    </row>
    <row r="42" spans="1:3" hidden="1" x14ac:dyDescent="0.5">
      <c r="A42" t="s">
        <v>2817</v>
      </c>
      <c r="B42" t="s">
        <v>93</v>
      </c>
      <c r="C42" s="4" t="str">
        <f>IF(ISERROR(_xlfn.XMATCH(B42,newlist!B:B,0)),"not found","found")</f>
        <v>found</v>
      </c>
    </row>
    <row r="43" spans="1:3" hidden="1" x14ac:dyDescent="0.5">
      <c r="A43" t="s">
        <v>2817</v>
      </c>
      <c r="B43" t="s">
        <v>399</v>
      </c>
      <c r="C43" s="4" t="str">
        <f>IF(ISERROR(_xlfn.XMATCH(B43,newlist!B:B,0)),"not found","found")</f>
        <v>found</v>
      </c>
    </row>
    <row r="44" spans="1:3" hidden="1" x14ac:dyDescent="0.5">
      <c r="A44" t="s">
        <v>2817</v>
      </c>
      <c r="B44" t="s">
        <v>466</v>
      </c>
      <c r="C44" s="4" t="str">
        <f>IF(ISERROR(_xlfn.XMATCH(B44,newlist!B:B,0)),"not found","found")</f>
        <v>found</v>
      </c>
    </row>
    <row r="45" spans="1:3" hidden="1" x14ac:dyDescent="0.5">
      <c r="A45" t="s">
        <v>2817</v>
      </c>
      <c r="B45" t="s">
        <v>200</v>
      </c>
      <c r="C45" s="4" t="str">
        <f>IF(ISERROR(_xlfn.XMATCH(B45,newlist!B:B,0)),"not found","found")</f>
        <v>found</v>
      </c>
    </row>
    <row r="46" spans="1:3" hidden="1" x14ac:dyDescent="0.5">
      <c r="A46" t="s">
        <v>2817</v>
      </c>
      <c r="B46" t="s">
        <v>335</v>
      </c>
      <c r="C46" s="4" t="str">
        <f>IF(ISERROR(_xlfn.XMATCH(B46,newlist!B:B,0)),"not found","found")</f>
        <v>found</v>
      </c>
    </row>
    <row r="47" spans="1:3" hidden="1" x14ac:dyDescent="0.5">
      <c r="A47" t="s">
        <v>2817</v>
      </c>
      <c r="B47" t="s">
        <v>737</v>
      </c>
      <c r="C47" s="4" t="str">
        <f>IF(ISERROR(_xlfn.XMATCH(B47,newlist!B:B,0)),"not found","found")</f>
        <v>found</v>
      </c>
    </row>
    <row r="48" spans="1:3" hidden="1" x14ac:dyDescent="0.5">
      <c r="A48" t="s">
        <v>2817</v>
      </c>
      <c r="B48" t="s">
        <v>969</v>
      </c>
      <c r="C48" s="4" t="str">
        <f>IF(ISERROR(_xlfn.XMATCH(B48,newlist!B:B,0)),"not found","found")</f>
        <v>found</v>
      </c>
    </row>
    <row r="49" spans="1:3" hidden="1" x14ac:dyDescent="0.5">
      <c r="A49" t="s">
        <v>2817</v>
      </c>
      <c r="B49" t="s">
        <v>793</v>
      </c>
      <c r="C49" s="4" t="str">
        <f>IF(ISERROR(_xlfn.XMATCH(B49,newlist!B:B,0)),"not found","found")</f>
        <v>found</v>
      </c>
    </row>
    <row r="50" spans="1:3" hidden="1" x14ac:dyDescent="0.5">
      <c r="A50" t="s">
        <v>2817</v>
      </c>
      <c r="B50" t="s">
        <v>159</v>
      </c>
      <c r="C50" s="4" t="str">
        <f>IF(ISERROR(_xlfn.XMATCH(B50,newlist!B:B,0)),"not found","found")</f>
        <v>found</v>
      </c>
    </row>
    <row r="51" spans="1:3" hidden="1" x14ac:dyDescent="0.5">
      <c r="A51" t="s">
        <v>2817</v>
      </c>
      <c r="B51" t="s">
        <v>781</v>
      </c>
      <c r="C51" s="4" t="str">
        <f>IF(ISERROR(_xlfn.XMATCH(B51,newlist!B:B,0)),"not found","found")</f>
        <v>found</v>
      </c>
    </row>
    <row r="52" spans="1:3" hidden="1" x14ac:dyDescent="0.5">
      <c r="A52" t="s">
        <v>2817</v>
      </c>
      <c r="B52" t="s">
        <v>212</v>
      </c>
      <c r="C52" s="4" t="str">
        <f>IF(ISERROR(_xlfn.XMATCH(B52,newlist!B:B,0)),"not found","found")</f>
        <v>found</v>
      </c>
    </row>
    <row r="53" spans="1:3" hidden="1" x14ac:dyDescent="0.5">
      <c r="A53" t="s">
        <v>2817</v>
      </c>
      <c r="B53" t="s">
        <v>249</v>
      </c>
      <c r="C53" s="4" t="str">
        <f>IF(ISERROR(_xlfn.XMATCH(B53,newlist!B:B,0)),"not found","found")</f>
        <v>found</v>
      </c>
    </row>
    <row r="54" spans="1:3" hidden="1" x14ac:dyDescent="0.5">
      <c r="A54" t="s">
        <v>2817</v>
      </c>
      <c r="B54" t="s">
        <v>663</v>
      </c>
      <c r="C54" s="4" t="str">
        <f>IF(ISERROR(_xlfn.XMATCH(B54,newlist!B:B,0)),"not found","found")</f>
        <v>found</v>
      </c>
    </row>
    <row r="55" spans="1:3" hidden="1" x14ac:dyDescent="0.5">
      <c r="A55" t="s">
        <v>2817</v>
      </c>
      <c r="B55" t="s">
        <v>681</v>
      </c>
      <c r="C55" s="4" t="str">
        <f>IF(ISERROR(_xlfn.XMATCH(B55,newlist!B:B,0)),"not found","found")</f>
        <v>found</v>
      </c>
    </row>
    <row r="56" spans="1:3" hidden="1" x14ac:dyDescent="0.5">
      <c r="A56" t="s">
        <v>2817</v>
      </c>
      <c r="B56" t="s">
        <v>848</v>
      </c>
      <c r="C56" s="4" t="str">
        <f>IF(ISERROR(_xlfn.XMATCH(B56,newlist!B:B,0)),"not found","found")</f>
        <v>found</v>
      </c>
    </row>
    <row r="57" spans="1:3" hidden="1" x14ac:dyDescent="0.5">
      <c r="A57" t="s">
        <v>2817</v>
      </c>
      <c r="B57" t="s">
        <v>69</v>
      </c>
      <c r="C57" s="4" t="str">
        <f>IF(ISERROR(_xlfn.XMATCH(B57,newlist!B:B,0)),"not found","found")</f>
        <v>found</v>
      </c>
    </row>
    <row r="58" spans="1:3" hidden="1" x14ac:dyDescent="0.5">
      <c r="A58" t="s">
        <v>2817</v>
      </c>
      <c r="B58" t="s">
        <v>71</v>
      </c>
      <c r="C58" s="4" t="str">
        <f>IF(ISERROR(_xlfn.XMATCH(B58,newlist!B:B,0)),"not found","found")</f>
        <v>found</v>
      </c>
    </row>
    <row r="59" spans="1:3" hidden="1" x14ac:dyDescent="0.5">
      <c r="A59" t="s">
        <v>2817</v>
      </c>
      <c r="B59" t="s">
        <v>265</v>
      </c>
      <c r="C59" s="4" t="str">
        <f>IF(ISERROR(_xlfn.XMATCH(B59,newlist!B:B,0)),"not found","found")</f>
        <v>found</v>
      </c>
    </row>
    <row r="60" spans="1:3" hidden="1" x14ac:dyDescent="0.5">
      <c r="A60" t="s">
        <v>2817</v>
      </c>
      <c r="B60" t="s">
        <v>965</v>
      </c>
      <c r="C60" s="4" t="str">
        <f>IF(ISERROR(_xlfn.XMATCH(B60,newlist!B:B,0)),"not found","found")</f>
        <v>found</v>
      </c>
    </row>
    <row r="61" spans="1:3" hidden="1" x14ac:dyDescent="0.5">
      <c r="A61" t="s">
        <v>2817</v>
      </c>
      <c r="B61" t="s">
        <v>891</v>
      </c>
      <c r="C61" s="4" t="str">
        <f>IF(ISERROR(_xlfn.XMATCH(B61,newlist!B:B,0)),"not found","found")</f>
        <v>found</v>
      </c>
    </row>
    <row r="62" spans="1:3" hidden="1" x14ac:dyDescent="0.5">
      <c r="A62" t="s">
        <v>2817</v>
      </c>
      <c r="B62" t="s">
        <v>953</v>
      </c>
      <c r="C62" s="4" t="str">
        <f>IF(ISERROR(_xlfn.XMATCH(B62,newlist!B:B,0)),"not found","found")</f>
        <v>found</v>
      </c>
    </row>
    <row r="63" spans="1:3" hidden="1" x14ac:dyDescent="0.5">
      <c r="A63" t="s">
        <v>2817</v>
      </c>
      <c r="B63" t="s">
        <v>949</v>
      </c>
      <c r="C63" s="4" t="str">
        <f>IF(ISERROR(_xlfn.XMATCH(B63,newlist!B:B,0)),"not found","found")</f>
        <v>found</v>
      </c>
    </row>
    <row r="64" spans="1:3" hidden="1" x14ac:dyDescent="0.5">
      <c r="A64" t="s">
        <v>2817</v>
      </c>
      <c r="B64" t="s">
        <v>307</v>
      </c>
      <c r="C64" s="4" t="str">
        <f>IF(ISERROR(_xlfn.XMATCH(B64,newlist!B:B,0)),"not found","found")</f>
        <v>found</v>
      </c>
    </row>
    <row r="65" spans="1:3" hidden="1" x14ac:dyDescent="0.5">
      <c r="A65" t="s">
        <v>2817</v>
      </c>
      <c r="B65" t="s">
        <v>61</v>
      </c>
      <c r="C65" s="4" t="str">
        <f>IF(ISERROR(_xlfn.XMATCH(B65,newlist!B:B,0)),"not found","found")</f>
        <v>found</v>
      </c>
    </row>
    <row r="66" spans="1:3" hidden="1" x14ac:dyDescent="0.5">
      <c r="A66" t="s">
        <v>2817</v>
      </c>
      <c r="B66" t="s">
        <v>301</v>
      </c>
      <c r="C66" s="4" t="str">
        <f>IF(ISERROR(_xlfn.XMATCH(B66,newlist!B:B,0)),"not found","found")</f>
        <v>found</v>
      </c>
    </row>
    <row r="67" spans="1:3" hidden="1" x14ac:dyDescent="0.5">
      <c r="A67" t="s">
        <v>2817</v>
      </c>
      <c r="B67" t="s">
        <v>519</v>
      </c>
      <c r="C67" s="4" t="str">
        <f>IF(ISERROR(_xlfn.XMATCH(B67,newlist!B:B,0)),"not found","found")</f>
        <v>found</v>
      </c>
    </row>
    <row r="68" spans="1:3" hidden="1" x14ac:dyDescent="0.5">
      <c r="A68" t="s">
        <v>2817</v>
      </c>
      <c r="B68" t="s">
        <v>657</v>
      </c>
      <c r="C68" s="4" t="str">
        <f>IF(ISERROR(_xlfn.XMATCH(B68,newlist!B:B,0)),"not found","found")</f>
        <v>found</v>
      </c>
    </row>
    <row r="69" spans="1:3" hidden="1" x14ac:dyDescent="0.5">
      <c r="A69" t="s">
        <v>2817</v>
      </c>
      <c r="B69" t="s">
        <v>703</v>
      </c>
      <c r="C69" s="4" t="str">
        <f>IF(ISERROR(_xlfn.XMATCH(B69,newlist!B:B,0)),"not found","found")</f>
        <v>found</v>
      </c>
    </row>
    <row r="70" spans="1:3" hidden="1" x14ac:dyDescent="0.5">
      <c r="A70" t="s">
        <v>2817</v>
      </c>
      <c r="B70" t="s">
        <v>799</v>
      </c>
      <c r="C70" s="4" t="str">
        <f>IF(ISERROR(_xlfn.XMATCH(B70,newlist!B:B,0)),"not found","found")</f>
        <v>found</v>
      </c>
    </row>
    <row r="71" spans="1:3" hidden="1" x14ac:dyDescent="0.5">
      <c r="A71" t="s">
        <v>2817</v>
      </c>
      <c r="B71" t="s">
        <v>992</v>
      </c>
      <c r="C71" s="4" t="str">
        <f>IF(ISERROR(_xlfn.XMATCH(B71,newlist!B:B,0)),"not found","found")</f>
        <v>found</v>
      </c>
    </row>
    <row r="72" spans="1:3" hidden="1" x14ac:dyDescent="0.5">
      <c r="A72" t="s">
        <v>2817</v>
      </c>
      <c r="B72" t="s">
        <v>697</v>
      </c>
      <c r="C72" s="4" t="str">
        <f>IF(ISERROR(_xlfn.XMATCH(B72,newlist!B:B,0)),"not found","found")</f>
        <v>found</v>
      </c>
    </row>
    <row r="73" spans="1:3" hidden="1" x14ac:dyDescent="0.5">
      <c r="A73" t="s">
        <v>2817</v>
      </c>
      <c r="B73" t="s">
        <v>218</v>
      </c>
      <c r="C73" s="4" t="str">
        <f>IF(ISERROR(_xlfn.XMATCH(B73,newlist!B:B,0)),"not found","found")</f>
        <v>found</v>
      </c>
    </row>
    <row r="74" spans="1:3" hidden="1" x14ac:dyDescent="0.5">
      <c r="A74" t="s">
        <v>2817</v>
      </c>
      <c r="B74" t="s">
        <v>431</v>
      </c>
      <c r="C74" s="4" t="str">
        <f>IF(ISERROR(_xlfn.XMATCH(B74,newlist!B:B,0)),"not found","found")</f>
        <v>found</v>
      </c>
    </row>
    <row r="75" spans="1:3" hidden="1" x14ac:dyDescent="0.5">
      <c r="A75" t="s">
        <v>2817</v>
      </c>
      <c r="B75" t="s">
        <v>717</v>
      </c>
      <c r="C75" s="4" t="str">
        <f>IF(ISERROR(_xlfn.XMATCH(B75,newlist!B:B,0)),"not found","found")</f>
        <v>found</v>
      </c>
    </row>
    <row r="76" spans="1:3" hidden="1" x14ac:dyDescent="0.5">
      <c r="A76" t="s">
        <v>2817</v>
      </c>
      <c r="B76" t="s">
        <v>803</v>
      </c>
      <c r="C76" s="4" t="str">
        <f>IF(ISERROR(_xlfn.XMATCH(B76,newlist!B:B,0)),"not found","found")</f>
        <v>found</v>
      </c>
    </row>
    <row r="77" spans="1:3" hidden="1" x14ac:dyDescent="0.5">
      <c r="A77" t="s">
        <v>2817</v>
      </c>
      <c r="B77" t="s">
        <v>30</v>
      </c>
      <c r="C77" s="4" t="str">
        <f>IF(ISERROR(_xlfn.XMATCH(B77,newlist!B:B,0)),"not found","found")</f>
        <v>found</v>
      </c>
    </row>
    <row r="78" spans="1:3" hidden="1" x14ac:dyDescent="0.5">
      <c r="A78" t="s">
        <v>2817</v>
      </c>
      <c r="B78" t="s">
        <v>480</v>
      </c>
      <c r="C78" s="4" t="str">
        <f>IF(ISERROR(_xlfn.XMATCH(B78,newlist!B:B,0)),"not found","found")</f>
        <v>found</v>
      </c>
    </row>
    <row r="79" spans="1:3" hidden="1" x14ac:dyDescent="0.5">
      <c r="A79" t="s">
        <v>2817</v>
      </c>
      <c r="B79" t="s">
        <v>727</v>
      </c>
      <c r="C79" s="4" t="str">
        <f>IF(ISERROR(_xlfn.XMATCH(B79,newlist!B:B,0)),"not found","found")</f>
        <v>found</v>
      </c>
    </row>
    <row r="80" spans="1:3" hidden="1" x14ac:dyDescent="0.5">
      <c r="A80" t="s">
        <v>2817</v>
      </c>
      <c r="B80" t="s">
        <v>765</v>
      </c>
      <c r="C80" s="4" t="str">
        <f>IF(ISERROR(_xlfn.XMATCH(B80,newlist!B:B,0)),"not found","found")</f>
        <v>found</v>
      </c>
    </row>
    <row r="81" spans="1:3" hidden="1" x14ac:dyDescent="0.5">
      <c r="A81" t="s">
        <v>2817</v>
      </c>
      <c r="B81" t="s">
        <v>429</v>
      </c>
      <c r="C81" s="4" t="str">
        <f>IF(ISERROR(_xlfn.XMATCH(B81,newlist!B:B,0)),"not found","found")</f>
        <v>found</v>
      </c>
    </row>
    <row r="82" spans="1:3" hidden="1" x14ac:dyDescent="0.5">
      <c r="A82" t="s">
        <v>2817</v>
      </c>
      <c r="B82" t="s">
        <v>275</v>
      </c>
      <c r="C82" s="4" t="str">
        <f>IF(ISERROR(_xlfn.XMATCH(B82,newlist!B:B,0)),"not found","found")</f>
        <v>found</v>
      </c>
    </row>
    <row r="83" spans="1:3" hidden="1" x14ac:dyDescent="0.5">
      <c r="A83" t="s">
        <v>2817</v>
      </c>
      <c r="B83" t="s">
        <v>383</v>
      </c>
      <c r="C83" s="4" t="str">
        <f>IF(ISERROR(_xlfn.XMATCH(B83,newlist!B:B,0)),"not found","found")</f>
        <v>found</v>
      </c>
    </row>
    <row r="84" spans="1:3" hidden="1" x14ac:dyDescent="0.5">
      <c r="A84" t="s">
        <v>2817</v>
      </c>
      <c r="B84" t="s">
        <v>695</v>
      </c>
      <c r="C84" s="4" t="str">
        <f>IF(ISERROR(_xlfn.XMATCH(B84,newlist!B:B,0)),"not found","found")</f>
        <v>found</v>
      </c>
    </row>
    <row r="85" spans="1:3" hidden="1" x14ac:dyDescent="0.5">
      <c r="A85" t="s">
        <v>2817</v>
      </c>
      <c r="B85" t="s">
        <v>147</v>
      </c>
      <c r="C85" s="4" t="str">
        <f>IF(ISERROR(_xlfn.XMATCH(B85,newlist!B:B,0)),"not found","found")</f>
        <v>found</v>
      </c>
    </row>
    <row r="86" spans="1:3" hidden="1" x14ac:dyDescent="0.5">
      <c r="A86" t="s">
        <v>2817</v>
      </c>
      <c r="B86" t="s">
        <v>279</v>
      </c>
      <c r="C86" s="4" t="str">
        <f>IF(ISERROR(_xlfn.XMATCH(B86,newlist!B:B,0)),"not found","found")</f>
        <v>found</v>
      </c>
    </row>
    <row r="87" spans="1:3" hidden="1" x14ac:dyDescent="0.5">
      <c r="A87" t="s">
        <v>2817</v>
      </c>
      <c r="B87" t="s">
        <v>331</v>
      </c>
      <c r="C87" s="4" t="str">
        <f>IF(ISERROR(_xlfn.XMATCH(B87,newlist!B:B,0)),"not found","found")</f>
        <v>found</v>
      </c>
    </row>
    <row r="88" spans="1:3" hidden="1" x14ac:dyDescent="0.5">
      <c r="A88" t="s">
        <v>2817</v>
      </c>
      <c r="B88" t="s">
        <v>341</v>
      </c>
      <c r="C88" s="4" t="str">
        <f>IF(ISERROR(_xlfn.XMATCH(B88,newlist!B:B,0)),"not found","found")</f>
        <v>found</v>
      </c>
    </row>
    <row r="89" spans="1:3" hidden="1" x14ac:dyDescent="0.5">
      <c r="A89" t="s">
        <v>2817</v>
      </c>
      <c r="B89" t="s">
        <v>81</v>
      </c>
      <c r="C89" s="4" t="str">
        <f>IF(ISERROR(_xlfn.XMATCH(B89,newlist!B:B,0)),"not found","found")</f>
        <v>found</v>
      </c>
    </row>
    <row r="90" spans="1:3" hidden="1" x14ac:dyDescent="0.5">
      <c r="A90" t="s">
        <v>2817</v>
      </c>
      <c r="B90" t="s">
        <v>705</v>
      </c>
      <c r="C90" s="4" t="str">
        <f>IF(ISERROR(_xlfn.XMATCH(B90,newlist!B:B,0)),"not found","found")</f>
        <v>found</v>
      </c>
    </row>
    <row r="91" spans="1:3" hidden="1" x14ac:dyDescent="0.5">
      <c r="A91" t="s">
        <v>2817</v>
      </c>
      <c r="B91" t="s">
        <v>228</v>
      </c>
      <c r="C91" s="4" t="str">
        <f>IF(ISERROR(_xlfn.XMATCH(B91,newlist!B:B,0)),"not found","found")</f>
        <v>found</v>
      </c>
    </row>
    <row r="92" spans="1:3" hidden="1" x14ac:dyDescent="0.5">
      <c r="A92" t="s">
        <v>2817</v>
      </c>
      <c r="B92" t="s">
        <v>121</v>
      </c>
      <c r="C92" s="4" t="str">
        <f>IF(ISERROR(_xlfn.XMATCH(B92,newlist!B:B,0)),"not found","found")</f>
        <v>found</v>
      </c>
    </row>
    <row r="93" spans="1:3" hidden="1" x14ac:dyDescent="0.5">
      <c r="A93" t="s">
        <v>2817</v>
      </c>
      <c r="B93" t="s">
        <v>850</v>
      </c>
      <c r="C93" s="4" t="str">
        <f>IF(ISERROR(_xlfn.XMATCH(B93,newlist!B:B,0)),"not found","found")</f>
        <v>found</v>
      </c>
    </row>
    <row r="94" spans="1:3" hidden="1" x14ac:dyDescent="0.5">
      <c r="A94" t="s">
        <v>2817</v>
      </c>
      <c r="B94" t="s">
        <v>45</v>
      </c>
      <c r="C94" s="4" t="str">
        <f>IF(ISERROR(_xlfn.XMATCH(B94,newlist!B:B,0)),"not found","found")</f>
        <v>found</v>
      </c>
    </row>
    <row r="95" spans="1:3" hidden="1" x14ac:dyDescent="0.5">
      <c r="A95" t="s">
        <v>2817</v>
      </c>
      <c r="B95" t="s">
        <v>351</v>
      </c>
      <c r="C95" s="4" t="str">
        <f>IF(ISERROR(_xlfn.XMATCH(B95,newlist!B:B,0)),"not found","found")</f>
        <v>found</v>
      </c>
    </row>
    <row r="96" spans="1:3" hidden="1" x14ac:dyDescent="0.5">
      <c r="A96" t="s">
        <v>2817</v>
      </c>
      <c r="B96" t="s">
        <v>925</v>
      </c>
      <c r="C96" s="4" t="str">
        <f>IF(ISERROR(_xlfn.XMATCH(B96,newlist!B:B,0)),"not found","found")</f>
        <v>found</v>
      </c>
    </row>
    <row r="97" spans="1:3" hidden="1" x14ac:dyDescent="0.5">
      <c r="A97" t="s">
        <v>2817</v>
      </c>
      <c r="B97" t="s">
        <v>42</v>
      </c>
      <c r="C97" s="4" t="str">
        <f>IF(ISERROR(_xlfn.XMATCH(B97,newlist!B:B,0)),"not found","found")</f>
        <v>found</v>
      </c>
    </row>
    <row r="98" spans="1:3" hidden="1" x14ac:dyDescent="0.5">
      <c r="A98" t="s">
        <v>2817</v>
      </c>
      <c r="B98" t="s">
        <v>1012</v>
      </c>
      <c r="C98" s="4" t="str">
        <f>IF(ISERROR(_xlfn.XMATCH(B98,newlist!B:B,0)),"not found","found")</f>
        <v>found</v>
      </c>
    </row>
    <row r="99" spans="1:3" hidden="1" x14ac:dyDescent="0.5">
      <c r="A99" t="s">
        <v>2817</v>
      </c>
      <c r="B99" t="s">
        <v>243</v>
      </c>
      <c r="C99" s="4" t="str">
        <f>IF(ISERROR(_xlfn.XMATCH(B99,newlist!B:B,0)),"not found","found")</f>
        <v>found</v>
      </c>
    </row>
    <row r="100" spans="1:3" hidden="1" x14ac:dyDescent="0.5">
      <c r="A100" t="s">
        <v>2817</v>
      </c>
      <c r="B100" t="s">
        <v>447</v>
      </c>
      <c r="C100" s="4" t="str">
        <f>IF(ISERROR(_xlfn.XMATCH(B100,newlist!B:B,0)),"not found","found")</f>
        <v>found</v>
      </c>
    </row>
    <row r="101" spans="1:3" hidden="1" x14ac:dyDescent="0.5">
      <c r="A101" t="s">
        <v>2817</v>
      </c>
      <c r="B101" t="s">
        <v>478</v>
      </c>
      <c r="C101" s="4" t="str">
        <f>IF(ISERROR(_xlfn.XMATCH(B101,newlist!B:B,0)),"not found","found")</f>
        <v>found</v>
      </c>
    </row>
    <row r="102" spans="1:3" hidden="1" x14ac:dyDescent="0.5">
      <c r="A102" t="s">
        <v>2817</v>
      </c>
      <c r="B102" t="s">
        <v>464</v>
      </c>
      <c r="C102" s="4" t="str">
        <f>IF(ISERROR(_xlfn.XMATCH(B102,newlist!B:B,0)),"not found","found")</f>
        <v>found</v>
      </c>
    </row>
    <row r="103" spans="1:3" hidden="1" x14ac:dyDescent="0.5">
      <c r="A103" t="s">
        <v>2817</v>
      </c>
      <c r="B103" t="s">
        <v>181</v>
      </c>
      <c r="C103" s="4" t="str">
        <f>IF(ISERROR(_xlfn.XMATCH(B103,newlist!B:B,0)),"not found","found")</f>
        <v>found</v>
      </c>
    </row>
    <row r="104" spans="1:3" hidden="1" x14ac:dyDescent="0.5">
      <c r="A104" t="s">
        <v>2817</v>
      </c>
      <c r="B104" t="s">
        <v>975</v>
      </c>
      <c r="C104" s="4" t="str">
        <f>IF(ISERROR(_xlfn.XMATCH(B104,newlist!B:B,0)),"not found","found")</f>
        <v>found</v>
      </c>
    </row>
    <row r="105" spans="1:3" hidden="1" x14ac:dyDescent="0.5">
      <c r="A105" t="s">
        <v>2817</v>
      </c>
      <c r="B105" t="s">
        <v>929</v>
      </c>
      <c r="C105" s="4" t="str">
        <f>IF(ISERROR(_xlfn.XMATCH(B105,newlist!B:B,0)),"not found","found")</f>
        <v>found</v>
      </c>
    </row>
    <row r="106" spans="1:3" hidden="1" x14ac:dyDescent="0.5">
      <c r="A106" t="s">
        <v>2817</v>
      </c>
      <c r="B106" t="s">
        <v>188</v>
      </c>
      <c r="C106" s="4" t="str">
        <f>IF(ISERROR(_xlfn.XMATCH(B106,newlist!B:B,0)),"not found","found")</f>
        <v>found</v>
      </c>
    </row>
    <row r="107" spans="1:3" hidden="1" x14ac:dyDescent="0.5">
      <c r="A107" t="s">
        <v>2817</v>
      </c>
      <c r="B107" t="s">
        <v>709</v>
      </c>
      <c r="C107" s="4" t="str">
        <f>IF(ISERROR(_xlfn.XMATCH(B107,newlist!B:B,0)),"not found","found")</f>
        <v>found</v>
      </c>
    </row>
    <row r="108" spans="1:3" hidden="1" x14ac:dyDescent="0.5">
      <c r="A108" t="s">
        <v>2817</v>
      </c>
      <c r="B108" t="s">
        <v>127</v>
      </c>
      <c r="C108" s="4" t="str">
        <f>IF(ISERROR(_xlfn.XMATCH(B108,newlist!B:B,0)),"not found","found")</f>
        <v>found</v>
      </c>
    </row>
    <row r="109" spans="1:3" hidden="1" x14ac:dyDescent="0.5">
      <c r="A109" t="s">
        <v>2817</v>
      </c>
      <c r="B109" t="s">
        <v>472</v>
      </c>
      <c r="C109" s="4" t="str">
        <f>IF(ISERROR(_xlfn.XMATCH(B109,newlist!B:B,0)),"not found","found")</f>
        <v>found</v>
      </c>
    </row>
    <row r="110" spans="1:3" hidden="1" x14ac:dyDescent="0.5">
      <c r="A110" t="s">
        <v>2817</v>
      </c>
      <c r="B110" t="s">
        <v>311</v>
      </c>
      <c r="C110" s="4" t="str">
        <f>IF(ISERROR(_xlfn.XMATCH(B110,newlist!B:B,0)),"not found","found")</f>
        <v>found</v>
      </c>
    </row>
    <row r="111" spans="1:3" hidden="1" x14ac:dyDescent="0.5">
      <c r="A111" t="s">
        <v>2817</v>
      </c>
      <c r="B111" t="s">
        <v>773</v>
      </c>
      <c r="C111" s="4" t="str">
        <f>IF(ISERROR(_xlfn.XMATCH(B111,newlist!B:B,0)),"not found","found")</f>
        <v>found</v>
      </c>
    </row>
    <row r="112" spans="1:3" hidden="1" x14ac:dyDescent="0.5">
      <c r="A112" t="s">
        <v>2817</v>
      </c>
      <c r="B112" t="s">
        <v>339</v>
      </c>
      <c r="C112" s="4" t="str">
        <f>IF(ISERROR(_xlfn.XMATCH(B112,newlist!B:B,0)),"not found","found")</f>
        <v>found</v>
      </c>
    </row>
    <row r="113" spans="1:3" hidden="1" x14ac:dyDescent="0.5">
      <c r="A113" t="s">
        <v>2817</v>
      </c>
      <c r="B113" t="s">
        <v>214</v>
      </c>
      <c r="C113" s="4" t="str">
        <f>IF(ISERROR(_xlfn.XMATCH(B113,newlist!B:B,0)),"not found","found")</f>
        <v>found</v>
      </c>
    </row>
    <row r="114" spans="1:3" hidden="1" x14ac:dyDescent="0.5">
      <c r="A114" t="s">
        <v>2817</v>
      </c>
      <c r="B114" t="s">
        <v>202</v>
      </c>
      <c r="C114" s="4" t="str">
        <f>IF(ISERROR(_xlfn.XMATCH(B114,newlist!B:B,0)),"not found","found")</f>
        <v>found</v>
      </c>
    </row>
    <row r="115" spans="1:3" hidden="1" x14ac:dyDescent="0.5">
      <c r="A115" t="s">
        <v>2817</v>
      </c>
      <c r="B115" t="s">
        <v>137</v>
      </c>
      <c r="C115" s="4" t="str">
        <f>IF(ISERROR(_xlfn.XMATCH(B115,newlist!B:B,0)),"not found","found")</f>
        <v>found</v>
      </c>
    </row>
    <row r="116" spans="1:3" hidden="1" x14ac:dyDescent="0.5">
      <c r="A116" t="s">
        <v>2817</v>
      </c>
      <c r="B116" t="s">
        <v>833</v>
      </c>
      <c r="C116" s="4" t="str">
        <f>IF(ISERROR(_xlfn.XMATCH(B116,newlist!B:B,0)),"not found","found")</f>
        <v>found</v>
      </c>
    </row>
    <row r="117" spans="1:3" hidden="1" x14ac:dyDescent="0.5">
      <c r="A117" t="s">
        <v>2817</v>
      </c>
      <c r="B117" t="s">
        <v>355</v>
      </c>
      <c r="C117" s="4" t="str">
        <f>IF(ISERROR(_xlfn.XMATCH(B117,newlist!B:B,0)),"not found","found")</f>
        <v>found</v>
      </c>
    </row>
    <row r="118" spans="1:3" hidden="1" x14ac:dyDescent="0.5">
      <c r="A118" t="s">
        <v>2817</v>
      </c>
      <c r="B118" t="s">
        <v>149</v>
      </c>
      <c r="C118" s="4" t="str">
        <f>IF(ISERROR(_xlfn.XMATCH(B118,newlist!B:B,0)),"not found","found")</f>
        <v>found</v>
      </c>
    </row>
    <row r="119" spans="1:3" hidden="1" x14ac:dyDescent="0.5">
      <c r="A119" t="s">
        <v>2817</v>
      </c>
      <c r="B119" t="s">
        <v>745</v>
      </c>
      <c r="C119" s="4" t="str">
        <f>IF(ISERROR(_xlfn.XMATCH(B119,newlist!B:B,0)),"not found","found")</f>
        <v>found</v>
      </c>
    </row>
    <row r="120" spans="1:3" hidden="1" x14ac:dyDescent="0.5">
      <c r="A120" t="s">
        <v>2817</v>
      </c>
      <c r="B120" t="s">
        <v>807</v>
      </c>
      <c r="C120" s="4" t="str">
        <f>IF(ISERROR(_xlfn.XMATCH(B120,newlist!B:B,0)),"not found","found")</f>
        <v>found</v>
      </c>
    </row>
    <row r="121" spans="1:3" hidden="1" x14ac:dyDescent="0.5">
      <c r="A121" t="s">
        <v>2817</v>
      </c>
      <c r="B121" t="s">
        <v>549</v>
      </c>
      <c r="C121" s="4" t="str">
        <f>IF(ISERROR(_xlfn.XMATCH(B121,newlist!B:B,0)),"not found","found")</f>
        <v>found</v>
      </c>
    </row>
    <row r="122" spans="1:3" hidden="1" x14ac:dyDescent="0.5">
      <c r="A122" t="s">
        <v>2817</v>
      </c>
      <c r="B122" t="s">
        <v>224</v>
      </c>
      <c r="C122" s="4" t="str">
        <f>IF(ISERROR(_xlfn.XMATCH(B122,newlist!B:B,0)),"not found","found")</f>
        <v>found</v>
      </c>
    </row>
    <row r="123" spans="1:3" hidden="1" x14ac:dyDescent="0.5">
      <c r="A123" t="s">
        <v>2817</v>
      </c>
      <c r="B123" t="s">
        <v>309</v>
      </c>
      <c r="C123" s="4" t="str">
        <f>IF(ISERROR(_xlfn.XMATCH(B123,newlist!B:B,0)),"not found","found")</f>
        <v>found</v>
      </c>
    </row>
    <row r="124" spans="1:3" hidden="1" x14ac:dyDescent="0.5">
      <c r="A124" t="s">
        <v>2817</v>
      </c>
      <c r="B124" t="s">
        <v>259</v>
      </c>
      <c r="C124" s="4" t="str">
        <f>IF(ISERROR(_xlfn.XMATCH(B124,newlist!B:B,0)),"not found","found")</f>
        <v>found</v>
      </c>
    </row>
    <row r="125" spans="1:3" hidden="1" x14ac:dyDescent="0.5">
      <c r="A125" t="s">
        <v>2817</v>
      </c>
      <c r="B125" t="s">
        <v>711</v>
      </c>
      <c r="C125" s="4" t="str">
        <f>IF(ISERROR(_xlfn.XMATCH(B125,newlist!B:B,0)),"not found","found")</f>
        <v>found</v>
      </c>
    </row>
    <row r="126" spans="1:3" hidden="1" x14ac:dyDescent="0.5">
      <c r="A126" t="s">
        <v>2817</v>
      </c>
      <c r="B126" t="s">
        <v>719</v>
      </c>
      <c r="C126" s="4" t="str">
        <f>IF(ISERROR(_xlfn.XMATCH(B126,newlist!B:B,0)),"not found","found")</f>
        <v>found</v>
      </c>
    </row>
    <row r="127" spans="1:3" hidden="1" x14ac:dyDescent="0.5">
      <c r="A127" t="s">
        <v>2817</v>
      </c>
      <c r="B127" t="s">
        <v>1026</v>
      </c>
      <c r="C127" s="4" t="str">
        <f>IF(ISERROR(_xlfn.XMATCH(B127,newlist!B:B,0)),"not found","found")</f>
        <v>found</v>
      </c>
    </row>
    <row r="128" spans="1:3" hidden="1" x14ac:dyDescent="0.5">
      <c r="A128" t="s">
        <v>2817</v>
      </c>
      <c r="B128" t="s">
        <v>222</v>
      </c>
      <c r="C128" s="4" t="str">
        <f>IF(ISERROR(_xlfn.XMATCH(B128,newlist!B:B,0)),"not found","found")</f>
        <v>found</v>
      </c>
    </row>
    <row r="129" spans="1:3" hidden="1" x14ac:dyDescent="0.5">
      <c r="A129" t="s">
        <v>2817</v>
      </c>
      <c r="B129" t="s">
        <v>303</v>
      </c>
      <c r="C129" s="4" t="str">
        <f>IF(ISERROR(_xlfn.XMATCH(B129,newlist!B:B,0)),"not found","found")</f>
        <v>found</v>
      </c>
    </row>
    <row r="130" spans="1:3" hidden="1" x14ac:dyDescent="0.5">
      <c r="A130" t="s">
        <v>2817</v>
      </c>
      <c r="B130" t="s">
        <v>192</v>
      </c>
      <c r="C130" s="4" t="str">
        <f>IF(ISERROR(_xlfn.XMATCH(B130,newlist!B:B,0)),"not found","found")</f>
        <v>found</v>
      </c>
    </row>
    <row r="131" spans="1:3" hidden="1" x14ac:dyDescent="0.5">
      <c r="A131" t="s">
        <v>2817</v>
      </c>
      <c r="B131" t="s">
        <v>157</v>
      </c>
      <c r="C131" s="4" t="str">
        <f>IF(ISERROR(_xlfn.XMATCH(B131,newlist!B:B,0)),"not found","found")</f>
        <v>found</v>
      </c>
    </row>
    <row r="132" spans="1:3" hidden="1" x14ac:dyDescent="0.5">
      <c r="A132" t="s">
        <v>2817</v>
      </c>
      <c r="B132" t="s">
        <v>115</v>
      </c>
      <c r="C132" s="4" t="str">
        <f>IF(ISERROR(_xlfn.XMATCH(B132,newlist!B:B,0)),"not found","found")</f>
        <v>found</v>
      </c>
    </row>
    <row r="133" spans="1:3" hidden="1" x14ac:dyDescent="0.5">
      <c r="A133" t="s">
        <v>2817</v>
      </c>
      <c r="B133" t="s">
        <v>691</v>
      </c>
      <c r="C133" s="4" t="str">
        <f>IF(ISERROR(_xlfn.XMATCH(B133,newlist!B:B,0)),"not found","found")</f>
        <v>found</v>
      </c>
    </row>
    <row r="134" spans="1:3" hidden="1" x14ac:dyDescent="0.5">
      <c r="A134" t="s">
        <v>2817</v>
      </c>
      <c r="B134" t="s">
        <v>263</v>
      </c>
      <c r="C134" s="4" t="str">
        <f>IF(ISERROR(_xlfn.XMATCH(B134,newlist!B:B,0)),"not found","found")</f>
        <v>found</v>
      </c>
    </row>
    <row r="135" spans="1:3" hidden="1" x14ac:dyDescent="0.5">
      <c r="A135" t="s">
        <v>2817</v>
      </c>
      <c r="B135" t="s">
        <v>1038</v>
      </c>
      <c r="C135" s="4" t="str">
        <f>IF(ISERROR(_xlfn.XMATCH(B135,newlist!B:B,0)),"not found","found")</f>
        <v>found</v>
      </c>
    </row>
    <row r="136" spans="1:3" hidden="1" x14ac:dyDescent="0.5">
      <c r="A136" t="s">
        <v>2817</v>
      </c>
      <c r="B136" t="s">
        <v>825</v>
      </c>
      <c r="C136" s="4" t="str">
        <f>IF(ISERROR(_xlfn.XMATCH(B136,newlist!B:B,0)),"not found","found")</f>
        <v>found</v>
      </c>
    </row>
    <row r="137" spans="1:3" hidden="1" x14ac:dyDescent="0.5">
      <c r="A137" t="s">
        <v>2817</v>
      </c>
      <c r="B137" t="s">
        <v>761</v>
      </c>
      <c r="C137" s="4" t="str">
        <f>IF(ISERROR(_xlfn.XMATCH(B137,newlist!B:B,0)),"not found","found")</f>
        <v>found</v>
      </c>
    </row>
    <row r="138" spans="1:3" hidden="1" x14ac:dyDescent="0.5">
      <c r="A138" t="s">
        <v>2817</v>
      </c>
      <c r="B138" t="s">
        <v>988</v>
      </c>
      <c r="C138" s="4" t="str">
        <f>IF(ISERROR(_xlfn.XMATCH(B138,newlist!B:B,0)),"not found","found")</f>
        <v>found</v>
      </c>
    </row>
    <row r="139" spans="1:3" hidden="1" x14ac:dyDescent="0.5">
      <c r="A139" t="s">
        <v>2817</v>
      </c>
      <c r="B139" t="s">
        <v>933</v>
      </c>
      <c r="C139" s="4" t="str">
        <f>IF(ISERROR(_xlfn.XMATCH(B139,newlist!B:B,0)),"not found","found")</f>
        <v>found</v>
      </c>
    </row>
    <row r="140" spans="1:3" hidden="1" x14ac:dyDescent="0.5">
      <c r="A140" t="s">
        <v>2817</v>
      </c>
      <c r="B140" t="s">
        <v>79</v>
      </c>
      <c r="C140" s="4" t="str">
        <f>IF(ISERROR(_xlfn.XMATCH(B140,newlist!B:B,0)),"not found","found")</f>
        <v>found</v>
      </c>
    </row>
    <row r="141" spans="1:3" hidden="1" x14ac:dyDescent="0.5">
      <c r="A141" t="s">
        <v>2817</v>
      </c>
      <c r="B141" t="s">
        <v>675</v>
      </c>
      <c r="C141" s="4" t="str">
        <f>IF(ISERROR(_xlfn.XMATCH(B141,newlist!B:B,0)),"not found","found")</f>
        <v>found</v>
      </c>
    </row>
    <row r="142" spans="1:3" hidden="1" x14ac:dyDescent="0.5">
      <c r="A142" t="s">
        <v>2817</v>
      </c>
      <c r="B142" t="s">
        <v>819</v>
      </c>
      <c r="C142" s="4" t="str">
        <f>IF(ISERROR(_xlfn.XMATCH(B142,newlist!B:B,0)),"not found","found")</f>
        <v>found</v>
      </c>
    </row>
    <row r="143" spans="1:3" hidden="1" x14ac:dyDescent="0.5">
      <c r="A143" t="s">
        <v>2817</v>
      </c>
      <c r="B143" t="s">
        <v>56</v>
      </c>
      <c r="C143" s="4" t="str">
        <f>IF(ISERROR(_xlfn.XMATCH(B143,newlist!B:B,0)),"not found","found")</f>
        <v>found</v>
      </c>
    </row>
    <row r="144" spans="1:3" hidden="1" x14ac:dyDescent="0.5">
      <c r="A144" t="s">
        <v>2817</v>
      </c>
      <c r="B144" t="s">
        <v>815</v>
      </c>
      <c r="C144" s="4" t="str">
        <f>IF(ISERROR(_xlfn.XMATCH(B144,newlist!B:B,0)),"not found","found")</f>
        <v>found</v>
      </c>
    </row>
    <row r="145" spans="1:3" hidden="1" x14ac:dyDescent="0.5">
      <c r="A145" t="s">
        <v>2817</v>
      </c>
      <c r="B145" t="s">
        <v>283</v>
      </c>
      <c r="C145" s="4" t="str">
        <f>IF(ISERROR(_xlfn.XMATCH(B145,newlist!B:B,0)),"not found","found")</f>
        <v>found</v>
      </c>
    </row>
    <row r="146" spans="1:3" hidden="1" x14ac:dyDescent="0.5">
      <c r="A146" t="s">
        <v>2817</v>
      </c>
      <c r="B146" t="s">
        <v>1016</v>
      </c>
      <c r="C146" s="4" t="str">
        <f>IF(ISERROR(_xlfn.XMATCH(B146,newlist!B:B,0)),"not found","found")</f>
        <v>found</v>
      </c>
    </row>
    <row r="147" spans="1:3" hidden="1" x14ac:dyDescent="0.5">
      <c r="A147" t="s">
        <v>2817</v>
      </c>
      <c r="B147" t="s">
        <v>858</v>
      </c>
      <c r="C147" s="4" t="str">
        <f>IF(ISERROR(_xlfn.XMATCH(B147,newlist!B:B,0)),"not found","found")</f>
        <v>found</v>
      </c>
    </row>
    <row r="148" spans="1:3" hidden="1" x14ac:dyDescent="0.5">
      <c r="A148" t="s">
        <v>2817</v>
      </c>
      <c r="B148" t="s">
        <v>622</v>
      </c>
      <c r="C148" s="4" t="str">
        <f>IF(ISERROR(_xlfn.XMATCH(B148,newlist!B:B,0)),"not found","found")</f>
        <v>found</v>
      </c>
    </row>
    <row r="149" spans="1:3" hidden="1" x14ac:dyDescent="0.5">
      <c r="A149" t="s">
        <v>2817</v>
      </c>
      <c r="B149" t="s">
        <v>421</v>
      </c>
      <c r="C149" s="4" t="str">
        <f>IF(ISERROR(_xlfn.XMATCH(B149,newlist!B:B,0)),"not found","found")</f>
        <v>found</v>
      </c>
    </row>
    <row r="150" spans="1:3" hidden="1" x14ac:dyDescent="0.5">
      <c r="A150" t="s">
        <v>2817</v>
      </c>
      <c r="B150" t="s">
        <v>183</v>
      </c>
      <c r="C150" s="4" t="str">
        <f>IF(ISERROR(_xlfn.XMATCH(B150,newlist!B:B,0)),"not found","found")</f>
        <v>found</v>
      </c>
    </row>
    <row r="151" spans="1:3" hidden="1" x14ac:dyDescent="0.5">
      <c r="A151" t="s">
        <v>2817</v>
      </c>
      <c r="B151" t="s">
        <v>887</v>
      </c>
      <c r="C151" s="4" t="str">
        <f>IF(ISERROR(_xlfn.XMATCH(B151,newlist!B:B,0)),"not found","found")</f>
        <v>found</v>
      </c>
    </row>
    <row r="152" spans="1:3" hidden="1" x14ac:dyDescent="0.5">
      <c r="A152" t="s">
        <v>2817</v>
      </c>
      <c r="B152" t="s">
        <v>413</v>
      </c>
      <c r="C152" s="4" t="str">
        <f>IF(ISERROR(_xlfn.XMATCH(B152,newlist!B:B,0)),"not found","found")</f>
        <v>found</v>
      </c>
    </row>
    <row r="153" spans="1:3" hidden="1" x14ac:dyDescent="0.5">
      <c r="A153" t="s">
        <v>2817</v>
      </c>
      <c r="B153" t="s">
        <v>687</v>
      </c>
      <c r="C153" s="4" t="str">
        <f>IF(ISERROR(_xlfn.XMATCH(B153,newlist!B:B,0)),"not found","found")</f>
        <v>found</v>
      </c>
    </row>
    <row r="154" spans="1:3" hidden="1" x14ac:dyDescent="0.5">
      <c r="A154" t="s">
        <v>2817</v>
      </c>
      <c r="B154" t="s">
        <v>129</v>
      </c>
      <c r="C154" s="4" t="str">
        <f>IF(ISERROR(_xlfn.XMATCH(B154,newlist!B:B,0)),"not found","found")</f>
        <v>found</v>
      </c>
    </row>
    <row r="155" spans="1:3" hidden="1" x14ac:dyDescent="0.5">
      <c r="A155" t="s">
        <v>2817</v>
      </c>
      <c r="B155" t="s">
        <v>843</v>
      </c>
      <c r="C155" s="4" t="str">
        <f>IF(ISERROR(_xlfn.XMATCH(B155,newlist!B:B,0)),"not found","found")</f>
        <v>found</v>
      </c>
    </row>
    <row r="156" spans="1:3" hidden="1" x14ac:dyDescent="0.5">
      <c r="A156" t="s">
        <v>2817</v>
      </c>
      <c r="B156" t="s">
        <v>841</v>
      </c>
      <c r="C156" s="4" t="str">
        <f>IF(ISERROR(_xlfn.XMATCH(B156,newlist!B:B,0)),"not found","found")</f>
        <v>found</v>
      </c>
    </row>
    <row r="157" spans="1:3" hidden="1" x14ac:dyDescent="0.5">
      <c r="A157" t="s">
        <v>2817</v>
      </c>
      <c r="B157" t="s">
        <v>377</v>
      </c>
      <c r="C157" s="4" t="str">
        <f>IF(ISERROR(_xlfn.XMATCH(B157,newlist!B:B,0)),"not found","found")</f>
        <v>found</v>
      </c>
    </row>
    <row r="158" spans="1:3" hidden="1" x14ac:dyDescent="0.5">
      <c r="A158" t="s">
        <v>2817</v>
      </c>
      <c r="B158" t="s">
        <v>1028</v>
      </c>
      <c r="C158" s="4" t="str">
        <f>IF(ISERROR(_xlfn.XMATCH(B158,newlist!B:B,0)),"not found","found")</f>
        <v>found</v>
      </c>
    </row>
    <row r="159" spans="1:3" hidden="1" x14ac:dyDescent="0.5">
      <c r="A159" t="s">
        <v>2817</v>
      </c>
      <c r="B159" t="s">
        <v>905</v>
      </c>
      <c r="C159" s="4" t="str">
        <f>IF(ISERROR(_xlfn.XMATCH(B159,newlist!B:B,0)),"not found","found")</f>
        <v>found</v>
      </c>
    </row>
    <row r="160" spans="1:3" hidden="1" x14ac:dyDescent="0.5">
      <c r="A160" t="s">
        <v>2817</v>
      </c>
      <c r="B160" t="s">
        <v>103</v>
      </c>
      <c r="C160" s="4" t="str">
        <f>IF(ISERROR(_xlfn.XMATCH(B160,newlist!B:B,0)),"not found","found")</f>
        <v>found</v>
      </c>
    </row>
    <row r="161" spans="1:3" hidden="1" x14ac:dyDescent="0.5">
      <c r="A161" t="s">
        <v>2817</v>
      </c>
      <c r="B161" t="s">
        <v>204</v>
      </c>
      <c r="C161" s="4" t="str">
        <f>IF(ISERROR(_xlfn.XMATCH(B161,newlist!B:B,0)),"not found","found")</f>
        <v>found</v>
      </c>
    </row>
    <row r="162" spans="1:3" hidden="1" x14ac:dyDescent="0.5">
      <c r="A162" t="s">
        <v>2817</v>
      </c>
      <c r="B162" t="s">
        <v>856</v>
      </c>
      <c r="C162" s="4" t="str">
        <f>IF(ISERROR(_xlfn.XMATCH(B162,newlist!B:B,0)),"not found","found")</f>
        <v>found</v>
      </c>
    </row>
    <row r="163" spans="1:3" hidden="1" x14ac:dyDescent="0.5">
      <c r="A163" t="s">
        <v>2817</v>
      </c>
      <c r="B163" t="s">
        <v>433</v>
      </c>
      <c r="C163" s="4" t="str">
        <f>IF(ISERROR(_xlfn.XMATCH(B163,newlist!B:B,0)),"not found","found")</f>
        <v>found</v>
      </c>
    </row>
    <row r="164" spans="1:3" hidden="1" x14ac:dyDescent="0.5">
      <c r="A164" t="s">
        <v>2817</v>
      </c>
      <c r="B164" t="s">
        <v>295</v>
      </c>
      <c r="C164" s="4" t="str">
        <f>IF(ISERROR(_xlfn.XMATCH(B164,newlist!B:B,0)),"not found","found")</f>
        <v>found</v>
      </c>
    </row>
    <row r="165" spans="1:3" hidden="1" x14ac:dyDescent="0.5">
      <c r="A165" t="s">
        <v>2817</v>
      </c>
      <c r="B165" t="s">
        <v>817</v>
      </c>
      <c r="C165" s="4" t="str">
        <f>IF(ISERROR(_xlfn.XMATCH(B165,newlist!B:B,0)),"not found","found")</f>
        <v>found</v>
      </c>
    </row>
    <row r="166" spans="1:3" hidden="1" x14ac:dyDescent="0.5">
      <c r="A166" t="s">
        <v>2817</v>
      </c>
      <c r="B166" t="s">
        <v>230</v>
      </c>
      <c r="C166" s="4" t="str">
        <f>IF(ISERROR(_xlfn.XMATCH(B166,newlist!B:B,0)),"not found","found")</f>
        <v>found</v>
      </c>
    </row>
    <row r="167" spans="1:3" hidden="1" x14ac:dyDescent="0.5">
      <c r="A167" t="s">
        <v>2817</v>
      </c>
      <c r="B167" t="s">
        <v>36</v>
      </c>
      <c r="C167" s="4" t="str">
        <f>IF(ISERROR(_xlfn.XMATCH(B167,newlist!B:B,0)),"not found","found")</f>
        <v>found</v>
      </c>
    </row>
    <row r="168" spans="1:3" hidden="1" x14ac:dyDescent="0.5">
      <c r="A168" t="s">
        <v>2817</v>
      </c>
      <c r="B168" t="s">
        <v>271</v>
      </c>
      <c r="C168" s="4" t="str">
        <f>IF(ISERROR(_xlfn.XMATCH(B168,newlist!B:B,0)),"not found","found")</f>
        <v>found</v>
      </c>
    </row>
    <row r="169" spans="1:3" hidden="1" x14ac:dyDescent="0.5">
      <c r="A169" t="s">
        <v>2817</v>
      </c>
      <c r="B169" t="s">
        <v>755</v>
      </c>
      <c r="C169" s="4" t="str">
        <f>IF(ISERROR(_xlfn.XMATCH(B169,newlist!B:B,0)),"not found","found")</f>
        <v>found</v>
      </c>
    </row>
    <row r="170" spans="1:3" hidden="1" x14ac:dyDescent="0.5">
      <c r="A170" t="s">
        <v>2817</v>
      </c>
      <c r="B170" t="s">
        <v>375</v>
      </c>
      <c r="C170" s="4" t="str">
        <f>IF(ISERROR(_xlfn.XMATCH(B170,newlist!B:B,0)),"not found","found")</f>
        <v>found</v>
      </c>
    </row>
    <row r="171" spans="1:3" hidden="1" x14ac:dyDescent="0.5">
      <c r="A171" t="s">
        <v>2817</v>
      </c>
      <c r="B171" t="s">
        <v>63</v>
      </c>
      <c r="C171" s="4" t="str">
        <f>IF(ISERROR(_xlfn.XMATCH(B171,newlist!B:B,0)),"not found","found")</f>
        <v>found</v>
      </c>
    </row>
    <row r="172" spans="1:3" hidden="1" x14ac:dyDescent="0.5">
      <c r="A172" t="s">
        <v>2817</v>
      </c>
      <c r="B172" t="s">
        <v>813</v>
      </c>
      <c r="C172" s="4" t="str">
        <f>IF(ISERROR(_xlfn.XMATCH(B172,newlist!B:B,0)),"not found","found")</f>
        <v>found</v>
      </c>
    </row>
    <row r="173" spans="1:3" hidden="1" x14ac:dyDescent="0.5">
      <c r="A173" t="s">
        <v>2817</v>
      </c>
      <c r="B173" t="s">
        <v>403</v>
      </c>
      <c r="C173" s="4" t="str">
        <f>IF(ISERROR(_xlfn.XMATCH(B173,newlist!B:B,0)),"not found","found")</f>
        <v>found</v>
      </c>
    </row>
    <row r="174" spans="1:3" hidden="1" x14ac:dyDescent="0.5">
      <c r="A174" t="s">
        <v>2817</v>
      </c>
      <c r="B174" t="s">
        <v>77</v>
      </c>
      <c r="C174" s="4" t="str">
        <f>IF(ISERROR(_xlfn.XMATCH(B174,newlist!B:B,0)),"not found","found")</f>
        <v>found</v>
      </c>
    </row>
    <row r="175" spans="1:3" hidden="1" x14ac:dyDescent="0.5">
      <c r="A175" t="s">
        <v>2817</v>
      </c>
      <c r="B175" t="s">
        <v>713</v>
      </c>
      <c r="C175" s="4" t="str">
        <f>IF(ISERROR(_xlfn.XMATCH(B175,newlist!B:B,0)),"not found","found")</f>
        <v>found</v>
      </c>
    </row>
    <row r="176" spans="1:3" hidden="1" x14ac:dyDescent="0.5">
      <c r="A176" t="s">
        <v>2817</v>
      </c>
      <c r="B176" t="s">
        <v>801</v>
      </c>
      <c r="C176" s="4" t="str">
        <f>IF(ISERROR(_xlfn.XMATCH(B176,newlist!B:B,0)),"not found","found")</f>
        <v>found</v>
      </c>
    </row>
    <row r="177" spans="1:3" hidden="1" x14ac:dyDescent="0.5">
      <c r="A177" t="s">
        <v>2817</v>
      </c>
      <c r="B177" t="s">
        <v>612</v>
      </c>
      <c r="C177" s="4" t="str">
        <f>IF(ISERROR(_xlfn.XMATCH(B177,newlist!B:B,0)),"not found","found")</f>
        <v>found</v>
      </c>
    </row>
    <row r="178" spans="1:3" hidden="1" x14ac:dyDescent="0.5">
      <c r="A178" t="s">
        <v>2817</v>
      </c>
      <c r="B178" t="s">
        <v>349</v>
      </c>
      <c r="C178" s="4" t="str">
        <f>IF(ISERROR(_xlfn.XMATCH(B178,newlist!B:B,0)),"not found","found")</f>
        <v>found</v>
      </c>
    </row>
    <row r="179" spans="1:3" hidden="1" x14ac:dyDescent="0.5">
      <c r="A179" t="s">
        <v>2817</v>
      </c>
      <c r="B179" t="s">
        <v>809</v>
      </c>
      <c r="C179" s="4" t="str">
        <f>IF(ISERROR(_xlfn.XMATCH(B179,newlist!B:B,0)),"not found","found")</f>
        <v>found</v>
      </c>
    </row>
    <row r="180" spans="1:3" hidden="1" x14ac:dyDescent="0.5">
      <c r="A180" t="s">
        <v>2817</v>
      </c>
      <c r="B180" t="s">
        <v>177</v>
      </c>
      <c r="C180" s="4" t="str">
        <f>IF(ISERROR(_xlfn.XMATCH(B180,newlist!B:B,0)),"not found","found")</f>
        <v>found</v>
      </c>
    </row>
    <row r="181" spans="1:3" hidden="1" x14ac:dyDescent="0.5">
      <c r="A181" t="s">
        <v>2817</v>
      </c>
      <c r="B181" t="s">
        <v>48</v>
      </c>
      <c r="C181" s="4" t="str">
        <f>IF(ISERROR(_xlfn.XMATCH(B181,newlist!B:B,0)),"not found","found")</f>
        <v>found</v>
      </c>
    </row>
    <row r="182" spans="1:3" hidden="1" x14ac:dyDescent="0.5">
      <c r="A182" t="s">
        <v>2817</v>
      </c>
      <c r="B182" t="s">
        <v>437</v>
      </c>
      <c r="C182" s="4" t="str">
        <f>IF(ISERROR(_xlfn.XMATCH(B182,newlist!B:B,0)),"not found","found")</f>
        <v>found</v>
      </c>
    </row>
    <row r="183" spans="1:3" hidden="1" x14ac:dyDescent="0.5">
      <c r="A183" t="s">
        <v>2817</v>
      </c>
      <c r="B183" t="s">
        <v>751</v>
      </c>
      <c r="C183" s="4" t="str">
        <f>IF(ISERROR(_xlfn.XMATCH(B183,newlist!B:B,0)),"not found","found")</f>
        <v>found</v>
      </c>
    </row>
    <row r="184" spans="1:3" hidden="1" x14ac:dyDescent="0.5">
      <c r="A184" t="s">
        <v>2817</v>
      </c>
      <c r="B184" t="s">
        <v>365</v>
      </c>
      <c r="C184" s="4" t="str">
        <f>IF(ISERROR(_xlfn.XMATCH(B184,newlist!B:B,0)),"not found","found")</f>
        <v>found</v>
      </c>
    </row>
    <row r="185" spans="1:3" hidden="1" x14ac:dyDescent="0.5">
      <c r="A185" t="s">
        <v>2817</v>
      </c>
      <c r="B185" t="s">
        <v>397</v>
      </c>
      <c r="C185" s="4" t="str">
        <f>IF(ISERROR(_xlfn.XMATCH(B185,newlist!B:B,0)),"not found","found")</f>
        <v>found</v>
      </c>
    </row>
    <row r="186" spans="1:3" hidden="1" x14ac:dyDescent="0.5">
      <c r="A186" t="s">
        <v>2817</v>
      </c>
      <c r="B186" t="s">
        <v>653</v>
      </c>
      <c r="C186" s="4" t="str">
        <f>IF(ISERROR(_xlfn.XMATCH(B186,newlist!B:B,0)),"not found","found")</f>
        <v>found</v>
      </c>
    </row>
    <row r="187" spans="1:3" hidden="1" x14ac:dyDescent="0.5">
      <c r="A187" t="s">
        <v>2817</v>
      </c>
      <c r="B187" t="s">
        <v>618</v>
      </c>
      <c r="C187" s="4" t="str">
        <f>IF(ISERROR(_xlfn.XMATCH(B187,newlist!B:B,0)),"not found","found")</f>
        <v>found</v>
      </c>
    </row>
    <row r="188" spans="1:3" hidden="1" x14ac:dyDescent="0.5">
      <c r="A188" t="s">
        <v>2817</v>
      </c>
      <c r="B188" t="s">
        <v>210</v>
      </c>
      <c r="C188" s="4" t="str">
        <f>IF(ISERROR(_xlfn.XMATCH(B188,newlist!B:B,0)),"not found","found")</f>
        <v>found</v>
      </c>
    </row>
    <row r="189" spans="1:3" hidden="1" x14ac:dyDescent="0.5">
      <c r="A189" t="s">
        <v>2817</v>
      </c>
      <c r="B189" t="s">
        <v>167</v>
      </c>
      <c r="C189" s="4" t="str">
        <f>IF(ISERROR(_xlfn.XMATCH(B189,newlist!B:B,0)),"not found","found")</f>
        <v>found</v>
      </c>
    </row>
    <row r="190" spans="1:3" hidden="1" x14ac:dyDescent="0.5">
      <c r="A190" t="s">
        <v>2817</v>
      </c>
      <c r="B190" t="s">
        <v>247</v>
      </c>
      <c r="C190" s="4" t="str">
        <f>IF(ISERROR(_xlfn.XMATCH(B190,newlist!B:B,0)),"not found","found")</f>
        <v>found</v>
      </c>
    </row>
    <row r="191" spans="1:3" hidden="1" x14ac:dyDescent="0.5">
      <c r="A191" t="s">
        <v>2817</v>
      </c>
      <c r="B191" t="s">
        <v>673</v>
      </c>
      <c r="C191" s="4" t="str">
        <f>IF(ISERROR(_xlfn.XMATCH(B191,newlist!B:B,0)),"not found","found")</f>
        <v>found</v>
      </c>
    </row>
    <row r="192" spans="1:3" hidden="1" x14ac:dyDescent="0.5">
      <c r="A192" t="s">
        <v>2817</v>
      </c>
      <c r="B192" t="s">
        <v>667</v>
      </c>
      <c r="C192" s="4" t="str">
        <f>IF(ISERROR(_xlfn.XMATCH(B192,newlist!B:B,0)),"not found","found")</f>
        <v>found</v>
      </c>
    </row>
    <row r="193" spans="1:3" hidden="1" x14ac:dyDescent="0.5">
      <c r="A193" t="s">
        <v>2817</v>
      </c>
      <c r="B193" t="s">
        <v>1022</v>
      </c>
      <c r="C193" s="4" t="str">
        <f>IF(ISERROR(_xlfn.XMATCH(B193,newlist!B:B,0)),"not found","found")</f>
        <v>found</v>
      </c>
    </row>
    <row r="194" spans="1:3" hidden="1" x14ac:dyDescent="0.5">
      <c r="A194" t="s">
        <v>2817</v>
      </c>
      <c r="B194" t="s">
        <v>113</v>
      </c>
      <c r="C194" s="4" t="str">
        <f>IF(ISERROR(_xlfn.XMATCH(B194,newlist!B:B,0)),"not found","found")</f>
        <v>found</v>
      </c>
    </row>
    <row r="195" spans="1:3" hidden="1" x14ac:dyDescent="0.5">
      <c r="A195" t="s">
        <v>2817</v>
      </c>
      <c r="B195" t="s">
        <v>196</v>
      </c>
      <c r="C195" s="4" t="str">
        <f>IF(ISERROR(_xlfn.XMATCH(B195,newlist!B:B,0)),"not found","found")</f>
        <v>found</v>
      </c>
    </row>
    <row r="196" spans="1:3" hidden="1" x14ac:dyDescent="0.5">
      <c r="A196" t="s">
        <v>2817</v>
      </c>
      <c r="B196" t="s">
        <v>423</v>
      </c>
      <c r="C196" s="4" t="str">
        <f>IF(ISERROR(_xlfn.XMATCH(B196,newlist!B:B,0)),"not found","found")</f>
        <v>found</v>
      </c>
    </row>
    <row r="197" spans="1:3" hidden="1" x14ac:dyDescent="0.5">
      <c r="A197" t="s">
        <v>2817</v>
      </c>
      <c r="B197" t="s">
        <v>293</v>
      </c>
      <c r="C197" s="4" t="str">
        <f>IF(ISERROR(_xlfn.XMATCH(B197,newlist!B:B,0)),"not found","found")</f>
        <v>found</v>
      </c>
    </row>
    <row r="198" spans="1:3" hidden="1" x14ac:dyDescent="0.5">
      <c r="A198" t="s">
        <v>2817</v>
      </c>
      <c r="B198" t="s">
        <v>733</v>
      </c>
      <c r="C198" s="4" t="str">
        <f>IF(ISERROR(_xlfn.XMATCH(B198,newlist!B:B,0)),"not found","found")</f>
        <v>found</v>
      </c>
    </row>
    <row r="199" spans="1:3" hidden="1" x14ac:dyDescent="0.5">
      <c r="A199" t="s">
        <v>2817</v>
      </c>
      <c r="B199" t="s">
        <v>327</v>
      </c>
      <c r="C199" s="4" t="str">
        <f>IF(ISERROR(_xlfn.XMATCH(B199,newlist!B:B,0)),"not found","found")</f>
        <v>found</v>
      </c>
    </row>
    <row r="200" spans="1:3" hidden="1" x14ac:dyDescent="0.5">
      <c r="A200" t="s">
        <v>2817</v>
      </c>
      <c r="B200" t="s">
        <v>685</v>
      </c>
      <c r="C200" s="4" t="str">
        <f>IF(ISERROR(_xlfn.XMATCH(B200,newlist!B:B,0)),"not found","found")</f>
        <v>found</v>
      </c>
    </row>
    <row r="201" spans="1:3" hidden="1" x14ac:dyDescent="0.5">
      <c r="A201" t="s">
        <v>2817</v>
      </c>
      <c r="B201" t="s">
        <v>381</v>
      </c>
      <c r="C201" s="4" t="str">
        <f>IF(ISERROR(_xlfn.XMATCH(B201,newlist!B:B,0)),"not found","found")</f>
        <v>found</v>
      </c>
    </row>
    <row r="202" spans="1:3" hidden="1" x14ac:dyDescent="0.5">
      <c r="A202" t="s">
        <v>2817</v>
      </c>
      <c r="B202" t="s">
        <v>141</v>
      </c>
      <c r="C202" s="4" t="str">
        <f>IF(ISERROR(_xlfn.XMATCH(B202,newlist!B:B,0)),"not found","found")</f>
        <v>found</v>
      </c>
    </row>
    <row r="203" spans="1:3" hidden="1" x14ac:dyDescent="0.5">
      <c r="A203" t="s">
        <v>2817</v>
      </c>
      <c r="B203" t="s">
        <v>763</v>
      </c>
      <c r="C203" s="4" t="str">
        <f>IF(ISERROR(_xlfn.XMATCH(B203,newlist!B:B,0)),"not found","found")</f>
        <v>found</v>
      </c>
    </row>
    <row r="204" spans="1:3" hidden="1" x14ac:dyDescent="0.5">
      <c r="A204" t="s">
        <v>2817</v>
      </c>
      <c r="B204" t="s">
        <v>379</v>
      </c>
      <c r="C204" s="4" t="str">
        <f>IF(ISERROR(_xlfn.XMATCH(B204,newlist!B:B,0)),"not found","found")</f>
        <v>found</v>
      </c>
    </row>
    <row r="205" spans="1:3" hidden="1" x14ac:dyDescent="0.5">
      <c r="A205" t="s">
        <v>2817</v>
      </c>
      <c r="B205" t="s">
        <v>220</v>
      </c>
      <c r="C205" s="4" t="str">
        <f>IF(ISERROR(_xlfn.XMATCH(B205,newlist!B:B,0)),"not found","found")</f>
        <v>found</v>
      </c>
    </row>
    <row r="206" spans="1:3" hidden="1" x14ac:dyDescent="0.5">
      <c r="A206" t="s">
        <v>2817</v>
      </c>
      <c r="B206" t="s">
        <v>839</v>
      </c>
      <c r="C206" s="4" t="str">
        <f>IF(ISERROR(_xlfn.XMATCH(B206,newlist!B:B,0)),"not found","found")</f>
        <v>found</v>
      </c>
    </row>
    <row r="207" spans="1:3" hidden="1" x14ac:dyDescent="0.5">
      <c r="A207" t="s">
        <v>2817</v>
      </c>
      <c r="B207" t="s">
        <v>361</v>
      </c>
      <c r="C207" s="4" t="str">
        <f>IF(ISERROR(_xlfn.XMATCH(B207,newlist!B:B,0)),"not found","found")</f>
        <v>found</v>
      </c>
    </row>
    <row r="208" spans="1:3" hidden="1" x14ac:dyDescent="0.5">
      <c r="A208" t="s">
        <v>2817</v>
      </c>
      <c r="B208" t="s">
        <v>852</v>
      </c>
      <c r="C208" s="4" t="str">
        <f>IF(ISERROR(_xlfn.XMATCH(B208,newlist!B:B,0)),"not found","found")</f>
        <v>found</v>
      </c>
    </row>
    <row r="209" spans="1:3" hidden="1" x14ac:dyDescent="0.5">
      <c r="A209" t="s">
        <v>2817</v>
      </c>
      <c r="B209" t="s">
        <v>371</v>
      </c>
      <c r="C209" s="4" t="str">
        <f>IF(ISERROR(_xlfn.XMATCH(B209,newlist!B:B,0)),"not found","found")</f>
        <v>found</v>
      </c>
    </row>
    <row r="210" spans="1:3" hidden="1" x14ac:dyDescent="0.5">
      <c r="A210" t="s">
        <v>2817</v>
      </c>
      <c r="B210" t="s">
        <v>51</v>
      </c>
      <c r="C210" s="4" t="str">
        <f>IF(ISERROR(_xlfn.XMATCH(B210,newlist!B:B,0)),"not found","found")</f>
        <v>found</v>
      </c>
    </row>
    <row r="211" spans="1:3" hidden="1" x14ac:dyDescent="0.5">
      <c r="A211" t="s">
        <v>2817</v>
      </c>
      <c r="B211" t="s">
        <v>683</v>
      </c>
      <c r="C211" s="4" t="str">
        <f>IF(ISERROR(_xlfn.XMATCH(B211,newlist!B:B,0)),"not found","found")</f>
        <v>found</v>
      </c>
    </row>
    <row r="212" spans="1:3" hidden="1" x14ac:dyDescent="0.5">
      <c r="A212" t="s">
        <v>2817</v>
      </c>
      <c r="B212" t="s">
        <v>787</v>
      </c>
      <c r="C212" s="4" t="str">
        <f>IF(ISERROR(_xlfn.XMATCH(B212,newlist!B:B,0)),"not found","found")</f>
        <v>found</v>
      </c>
    </row>
    <row r="213" spans="1:3" hidden="1" x14ac:dyDescent="0.5">
      <c r="A213" t="s">
        <v>2817</v>
      </c>
      <c r="B213" t="s">
        <v>186</v>
      </c>
      <c r="C213" s="4" t="str">
        <f>IF(ISERROR(_xlfn.XMATCH(B213,newlist!B:B,0)),"not found","found")</f>
        <v>found</v>
      </c>
    </row>
    <row r="214" spans="1:3" hidden="1" x14ac:dyDescent="0.5">
      <c r="A214" t="s">
        <v>2817</v>
      </c>
      <c r="B214" t="s">
        <v>699</v>
      </c>
      <c r="C214" s="4" t="str">
        <f>IF(ISERROR(_xlfn.XMATCH(B214,newlist!B:B,0)),"not found","found")</f>
        <v>found</v>
      </c>
    </row>
    <row r="215" spans="1:3" hidden="1" x14ac:dyDescent="0.5">
      <c r="A215" t="s">
        <v>2817</v>
      </c>
      <c r="B215" t="s">
        <v>811</v>
      </c>
      <c r="C215" s="4" t="str">
        <f>IF(ISERROR(_xlfn.XMATCH(B215,newlist!B:B,0)),"not found","found")</f>
        <v>found</v>
      </c>
    </row>
    <row r="216" spans="1:3" hidden="1" x14ac:dyDescent="0.5">
      <c r="A216" t="s">
        <v>2817</v>
      </c>
      <c r="B216" t="s">
        <v>405</v>
      </c>
      <c r="C216" s="4" t="str">
        <f>IF(ISERROR(_xlfn.XMATCH(B216,newlist!B:B,0)),"not found","found")</f>
        <v>found</v>
      </c>
    </row>
    <row r="217" spans="1:3" hidden="1" x14ac:dyDescent="0.5">
      <c r="A217" t="s">
        <v>2817</v>
      </c>
      <c r="B217" t="s">
        <v>343</v>
      </c>
      <c r="C217" s="4" t="str">
        <f>IF(ISERROR(_xlfn.XMATCH(B217,newlist!B:B,0)),"not found","found")</f>
        <v>found</v>
      </c>
    </row>
    <row r="218" spans="1:3" hidden="1" x14ac:dyDescent="0.5">
      <c r="A218" t="s">
        <v>2817</v>
      </c>
      <c r="B218" t="s">
        <v>767</v>
      </c>
      <c r="C218" s="4" t="str">
        <f>IF(ISERROR(_xlfn.XMATCH(B218,newlist!B:B,0)),"not found","found")</f>
        <v>found</v>
      </c>
    </row>
    <row r="219" spans="1:3" hidden="1" x14ac:dyDescent="0.5">
      <c r="A219" t="s">
        <v>2817</v>
      </c>
      <c r="B219" t="s">
        <v>757</v>
      </c>
      <c r="C219" s="4" t="str">
        <f>IF(ISERROR(_xlfn.XMATCH(B219,newlist!B:B,0)),"not found","found")</f>
        <v>found</v>
      </c>
    </row>
    <row r="220" spans="1:3" hidden="1" x14ac:dyDescent="0.5">
      <c r="A220" t="s">
        <v>2817</v>
      </c>
      <c r="B220" t="s">
        <v>439</v>
      </c>
      <c r="C220" s="4" t="str">
        <f>IF(ISERROR(_xlfn.XMATCH(B220,newlist!B:B,0)),"not found","found")</f>
        <v>found</v>
      </c>
    </row>
    <row r="221" spans="1:3" hidden="1" x14ac:dyDescent="0.5">
      <c r="A221" t="s">
        <v>2817</v>
      </c>
      <c r="B221" t="s">
        <v>907</v>
      </c>
      <c r="C221" s="4" t="str">
        <f>IF(ISERROR(_xlfn.XMATCH(B221,newlist!B:B,0)),"not found","found")</f>
        <v>found</v>
      </c>
    </row>
    <row r="222" spans="1:3" hidden="1" x14ac:dyDescent="0.5">
      <c r="A222" t="s">
        <v>2817</v>
      </c>
      <c r="B222" t="s">
        <v>785</v>
      </c>
      <c r="C222" s="4" t="str">
        <f>IF(ISERROR(_xlfn.XMATCH(B222,newlist!B:B,0)),"not found","found")</f>
        <v>found</v>
      </c>
    </row>
    <row r="223" spans="1:3" hidden="1" x14ac:dyDescent="0.5">
      <c r="A223" t="s">
        <v>2817</v>
      </c>
      <c r="B223" t="s">
        <v>889</v>
      </c>
      <c r="C223" s="4" t="str">
        <f>IF(ISERROR(_xlfn.XMATCH(B223,newlist!B:B,0)),"not found","found")</f>
        <v>found</v>
      </c>
    </row>
    <row r="224" spans="1:3" hidden="1" x14ac:dyDescent="0.5">
      <c r="A224" t="s">
        <v>2817</v>
      </c>
      <c r="B224" t="s">
        <v>415</v>
      </c>
      <c r="C224" s="4" t="str">
        <f>IF(ISERROR(_xlfn.XMATCH(B224,newlist!B:B,0)),"not found","found")</f>
        <v>found</v>
      </c>
    </row>
    <row r="225" spans="1:3" hidden="1" x14ac:dyDescent="0.5">
      <c r="A225" t="s">
        <v>2817</v>
      </c>
      <c r="B225" t="s">
        <v>273</v>
      </c>
      <c r="C225" s="4" t="str">
        <f>IF(ISERROR(_xlfn.XMATCH(B225,newlist!B:B,0)),"not found","found")</f>
        <v>found</v>
      </c>
    </row>
    <row r="226" spans="1:3" hidden="1" x14ac:dyDescent="0.5">
      <c r="A226" t="s">
        <v>2817</v>
      </c>
      <c r="B226" t="s">
        <v>947</v>
      </c>
      <c r="C226" s="4" t="str">
        <f>IF(ISERROR(_xlfn.XMATCH(B226,newlist!B:B,0)),"not found","found")</f>
        <v>found</v>
      </c>
    </row>
    <row r="227" spans="1:3" hidden="1" x14ac:dyDescent="0.5">
      <c r="A227" t="s">
        <v>2817</v>
      </c>
      <c r="B227" t="s">
        <v>139</v>
      </c>
      <c r="C227" s="4" t="str">
        <f>IF(ISERROR(_xlfn.XMATCH(B227,newlist!B:B,0)),"not found","found")</f>
        <v>found</v>
      </c>
    </row>
    <row r="228" spans="1:3" hidden="1" x14ac:dyDescent="0.5">
      <c r="A228" t="s">
        <v>2817</v>
      </c>
      <c r="B228" t="s">
        <v>453</v>
      </c>
      <c r="C228" s="4" t="str">
        <f>IF(ISERROR(_xlfn.XMATCH(B228,newlist!B:B,0)),"not found","found")</f>
        <v>found</v>
      </c>
    </row>
    <row r="229" spans="1:3" hidden="1" x14ac:dyDescent="0.5">
      <c r="A229" t="s">
        <v>2817</v>
      </c>
      <c r="B229" t="s">
        <v>455</v>
      </c>
      <c r="C229" s="4" t="str">
        <f>IF(ISERROR(_xlfn.XMATCH(B229,newlist!B:B,0)),"not found","found")</f>
        <v>found</v>
      </c>
    </row>
    <row r="230" spans="1:3" hidden="1" x14ac:dyDescent="0.5">
      <c r="A230" t="s">
        <v>2817</v>
      </c>
      <c r="B230" t="s">
        <v>1008</v>
      </c>
      <c r="C230" s="4" t="str">
        <f>IF(ISERROR(_xlfn.XMATCH(B230,newlist!B:B,0)),"not found","found")</f>
        <v>found</v>
      </c>
    </row>
    <row r="231" spans="1:3" hidden="1" x14ac:dyDescent="0.5">
      <c r="A231" t="s">
        <v>2817</v>
      </c>
      <c r="B231" t="s">
        <v>345</v>
      </c>
      <c r="C231" s="4" t="str">
        <f>IF(ISERROR(_xlfn.XMATCH(B231,newlist!B:B,0)),"not found","found")</f>
        <v>found</v>
      </c>
    </row>
    <row r="232" spans="1:3" hidden="1" x14ac:dyDescent="0.5">
      <c r="A232" t="s">
        <v>2817</v>
      </c>
      <c r="B232" t="s">
        <v>373</v>
      </c>
      <c r="C232" s="4" t="str">
        <f>IF(ISERROR(_xlfn.XMATCH(B232,newlist!B:B,0)),"not found","found")</f>
        <v>found</v>
      </c>
    </row>
    <row r="233" spans="1:3" hidden="1" x14ac:dyDescent="0.5">
      <c r="A233" t="s">
        <v>2817</v>
      </c>
      <c r="B233" t="s">
        <v>161</v>
      </c>
      <c r="C233" s="4" t="str">
        <f>IF(ISERROR(_xlfn.XMATCH(B233,newlist!B:B,0)),"not found","found")</f>
        <v>found</v>
      </c>
    </row>
    <row r="234" spans="1:3" hidden="1" x14ac:dyDescent="0.5">
      <c r="A234" t="s">
        <v>2817</v>
      </c>
      <c r="B234" t="s">
        <v>89</v>
      </c>
      <c r="C234" s="4" t="str">
        <f>IF(ISERROR(_xlfn.XMATCH(B234,newlist!B:B,0)),"not found","found")</f>
        <v>found</v>
      </c>
    </row>
    <row r="235" spans="1:3" hidden="1" x14ac:dyDescent="0.5">
      <c r="A235" t="s">
        <v>2817</v>
      </c>
      <c r="B235" t="s">
        <v>457</v>
      </c>
      <c r="C235" s="4" t="str">
        <f>IF(ISERROR(_xlfn.XMATCH(B235,newlist!B:B,0)),"not found","found")</f>
        <v>found</v>
      </c>
    </row>
    <row r="236" spans="1:3" hidden="1" x14ac:dyDescent="0.5">
      <c r="A236" t="s">
        <v>2817</v>
      </c>
      <c r="B236" t="s">
        <v>101</v>
      </c>
      <c r="C236" s="4" t="str">
        <f>IF(ISERROR(_xlfn.XMATCH(B236,newlist!B:B,0)),"not found","found")</f>
        <v>found</v>
      </c>
    </row>
    <row r="237" spans="1:3" hidden="1" x14ac:dyDescent="0.5">
      <c r="A237" t="s">
        <v>2817</v>
      </c>
      <c r="B237" t="s">
        <v>443</v>
      </c>
      <c r="C237" s="4" t="str">
        <f>IF(ISERROR(_xlfn.XMATCH(B237,newlist!B:B,0)),"not found","found")</f>
        <v>found</v>
      </c>
    </row>
    <row r="238" spans="1:3" hidden="1" x14ac:dyDescent="0.5">
      <c r="A238" t="s">
        <v>2817</v>
      </c>
      <c r="B238" t="s">
        <v>927</v>
      </c>
      <c r="C238" s="4" t="str">
        <f>IF(ISERROR(_xlfn.XMATCH(B238,newlist!B:B,0)),"not found","found")</f>
        <v>found</v>
      </c>
    </row>
    <row r="239" spans="1:3" hidden="1" x14ac:dyDescent="0.5">
      <c r="A239" t="s">
        <v>2817</v>
      </c>
      <c r="B239" t="s">
        <v>677</v>
      </c>
      <c r="C239" s="4" t="str">
        <f>IF(ISERROR(_xlfn.XMATCH(B239,newlist!B:B,0)),"not found","found")</f>
        <v>found</v>
      </c>
    </row>
    <row r="240" spans="1:3" hidden="1" x14ac:dyDescent="0.5">
      <c r="A240" t="s">
        <v>2817</v>
      </c>
      <c r="B240" t="s">
        <v>915</v>
      </c>
      <c r="C240" s="4" t="str">
        <f>IF(ISERROR(_xlfn.XMATCH(B240,newlist!B:B,0)),"not found","found")</f>
        <v>found</v>
      </c>
    </row>
    <row r="241" spans="1:3" hidden="1" x14ac:dyDescent="0.5">
      <c r="A241" t="s">
        <v>2817</v>
      </c>
      <c r="B241" t="s">
        <v>957</v>
      </c>
      <c r="C241" s="4" t="str">
        <f>IF(ISERROR(_xlfn.XMATCH(B241,newlist!B:B,0)),"not found","found")</f>
        <v>found</v>
      </c>
    </row>
    <row r="242" spans="1:3" hidden="1" x14ac:dyDescent="0.5">
      <c r="A242" t="s">
        <v>2817</v>
      </c>
      <c r="B242" t="s">
        <v>105</v>
      </c>
      <c r="C242" s="4" t="str">
        <f>IF(ISERROR(_xlfn.XMATCH(B242,newlist!B:B,0)),"not found","found")</f>
        <v>found</v>
      </c>
    </row>
    <row r="243" spans="1:3" hidden="1" x14ac:dyDescent="0.5">
      <c r="A243" t="s">
        <v>2817</v>
      </c>
      <c r="B243" t="s">
        <v>407</v>
      </c>
      <c r="C243" s="4" t="str">
        <f>IF(ISERROR(_xlfn.XMATCH(B243,newlist!B:B,0)),"not found","found")</f>
        <v>found</v>
      </c>
    </row>
    <row r="244" spans="1:3" hidden="1" x14ac:dyDescent="0.5">
      <c r="A244" t="s">
        <v>2817</v>
      </c>
      <c r="B244" t="s">
        <v>655</v>
      </c>
      <c r="C244" s="4" t="str">
        <f>IF(ISERROR(_xlfn.XMATCH(B244,newlist!B:B,0)),"not found","found")</f>
        <v>found</v>
      </c>
    </row>
    <row r="245" spans="1:3" hidden="1" x14ac:dyDescent="0.5">
      <c r="A245" t="s">
        <v>2817</v>
      </c>
      <c r="B245" t="s">
        <v>321</v>
      </c>
      <c r="C245" s="4" t="str">
        <f>IF(ISERROR(_xlfn.XMATCH(B245,newlist!B:B,0)),"not found","found")</f>
        <v>found</v>
      </c>
    </row>
    <row r="246" spans="1:3" hidden="1" x14ac:dyDescent="0.5">
      <c r="A246" t="s">
        <v>2817</v>
      </c>
      <c r="B246" t="s">
        <v>862</v>
      </c>
      <c r="C246" s="4" t="str">
        <f>IF(ISERROR(_xlfn.XMATCH(B246,newlist!B:B,0)),"not found","found")</f>
        <v>found</v>
      </c>
    </row>
    <row r="247" spans="1:3" hidden="1" x14ac:dyDescent="0.5">
      <c r="A247" t="s">
        <v>2817</v>
      </c>
      <c r="B247" t="s">
        <v>739</v>
      </c>
      <c r="C247" s="4" t="str">
        <f>IF(ISERROR(_xlfn.XMATCH(B247,newlist!B:B,0)),"not found","found")</f>
        <v>found</v>
      </c>
    </row>
    <row r="248" spans="1:3" hidden="1" x14ac:dyDescent="0.5">
      <c r="A248" t="s">
        <v>2817</v>
      </c>
      <c r="B248" t="s">
        <v>990</v>
      </c>
      <c r="C248" s="4" t="str">
        <f>IF(ISERROR(_xlfn.XMATCH(B248,newlist!B:B,0)),"not found","found")</f>
        <v>found</v>
      </c>
    </row>
    <row r="249" spans="1:3" hidden="1" x14ac:dyDescent="0.5">
      <c r="A249" t="s">
        <v>2817</v>
      </c>
      <c r="B249" t="s">
        <v>901</v>
      </c>
      <c r="C249" s="4" t="str">
        <f>IF(ISERROR(_xlfn.XMATCH(B249,newlist!B:B,0)),"not found","found")</f>
        <v>found</v>
      </c>
    </row>
    <row r="250" spans="1:3" hidden="1" x14ac:dyDescent="0.5">
      <c r="A250" t="s">
        <v>2817</v>
      </c>
      <c r="B250" t="s">
        <v>877</v>
      </c>
      <c r="C250" s="4" t="str">
        <f>IF(ISERROR(_xlfn.XMATCH(B250,newlist!B:B,0)),"not found","found")</f>
        <v>found</v>
      </c>
    </row>
    <row r="251" spans="1:3" hidden="1" x14ac:dyDescent="0.5">
      <c r="A251" t="s">
        <v>2817</v>
      </c>
      <c r="B251" t="s">
        <v>329</v>
      </c>
      <c r="C251" s="4" t="str">
        <f>IF(ISERROR(_xlfn.XMATCH(B251,newlist!B:B,0)),"not found","found")</f>
        <v>found</v>
      </c>
    </row>
    <row r="252" spans="1:3" hidden="1" x14ac:dyDescent="0.5">
      <c r="A252" t="s">
        <v>2817</v>
      </c>
      <c r="B252" t="s">
        <v>133</v>
      </c>
      <c r="C252" s="4" t="str">
        <f>IF(ISERROR(_xlfn.XMATCH(B252,newlist!B:B,0)),"not found","found")</f>
        <v>found</v>
      </c>
    </row>
    <row r="253" spans="1:3" hidden="1" x14ac:dyDescent="0.5">
      <c r="A253" t="s">
        <v>2817</v>
      </c>
      <c r="B253" t="s">
        <v>769</v>
      </c>
      <c r="C253" s="4" t="str">
        <f>IF(ISERROR(_xlfn.XMATCH(B253,newlist!B:B,0)),"not found","found")</f>
        <v>found</v>
      </c>
    </row>
    <row r="254" spans="1:3" hidden="1" x14ac:dyDescent="0.5">
      <c r="A254" t="s">
        <v>2817</v>
      </c>
      <c r="B254" t="s">
        <v>729</v>
      </c>
      <c r="C254" s="4" t="str">
        <f>IF(ISERROR(_xlfn.XMATCH(B254,newlist!B:B,0)),"not found","found")</f>
        <v>found</v>
      </c>
    </row>
    <row r="255" spans="1:3" hidden="1" x14ac:dyDescent="0.5">
      <c r="A255" t="s">
        <v>2817</v>
      </c>
      <c r="B255" t="s">
        <v>125</v>
      </c>
      <c r="C255" s="4" t="str">
        <f>IF(ISERROR(_xlfn.XMATCH(B255,newlist!B:B,0)),"not found","found")</f>
        <v>found</v>
      </c>
    </row>
    <row r="256" spans="1:3" hidden="1" x14ac:dyDescent="0.5">
      <c r="A256" t="s">
        <v>2817</v>
      </c>
      <c r="B256" t="s">
        <v>876</v>
      </c>
      <c r="C256" s="4" t="str">
        <f>IF(ISERROR(_xlfn.XMATCH(B256,newlist!B:B,0)),"not found","found")</f>
        <v>found</v>
      </c>
    </row>
    <row r="257" spans="1:3" hidden="1" x14ac:dyDescent="0.5">
      <c r="A257" t="s">
        <v>2817</v>
      </c>
      <c r="B257" t="s">
        <v>821</v>
      </c>
      <c r="C257" s="4" t="str">
        <f>IF(ISERROR(_xlfn.XMATCH(B257,newlist!B:B,0)),"not found","found")</f>
        <v>found</v>
      </c>
    </row>
    <row r="258" spans="1:3" hidden="1" x14ac:dyDescent="0.5">
      <c r="A258" t="s">
        <v>2817</v>
      </c>
      <c r="B258" t="s">
        <v>844</v>
      </c>
      <c r="C258" s="4" t="str">
        <f>IF(ISERROR(_xlfn.XMATCH(B258,newlist!B:B,0)),"not found","found")</f>
        <v>found</v>
      </c>
    </row>
    <row r="259" spans="1:3" hidden="1" x14ac:dyDescent="0.5">
      <c r="A259" t="s">
        <v>2817</v>
      </c>
      <c r="B259" t="s">
        <v>216</v>
      </c>
      <c r="C259" s="4" t="str">
        <f>IF(ISERROR(_xlfn.XMATCH(B259,newlist!B:B,0)),"not found","found")</f>
        <v>found</v>
      </c>
    </row>
    <row r="260" spans="1:3" hidden="1" x14ac:dyDescent="0.5">
      <c r="A260" t="s">
        <v>2817</v>
      </c>
      <c r="B260" t="s">
        <v>315</v>
      </c>
      <c r="C260" s="4" t="str">
        <f>IF(ISERROR(_xlfn.XMATCH(B260,newlist!B:B,0)),"not found","found")</f>
        <v>found</v>
      </c>
    </row>
    <row r="261" spans="1:3" hidden="1" x14ac:dyDescent="0.5">
      <c r="A261" t="s">
        <v>2817</v>
      </c>
      <c r="B261" t="s">
        <v>715</v>
      </c>
      <c r="C261" s="4" t="str">
        <f>IF(ISERROR(_xlfn.XMATCH(B261,newlist!B:B,0)),"not found","found")</f>
        <v>found</v>
      </c>
    </row>
    <row r="262" spans="1:3" hidden="1" x14ac:dyDescent="0.5">
      <c r="A262" t="s">
        <v>2817</v>
      </c>
      <c r="B262" t="s">
        <v>893</v>
      </c>
      <c r="C262" s="4" t="str">
        <f>IF(ISERROR(_xlfn.XMATCH(B262,newlist!B:B,0)),"not found","found")</f>
        <v>found</v>
      </c>
    </row>
    <row r="263" spans="1:3" hidden="1" x14ac:dyDescent="0.5">
      <c r="A263" t="s">
        <v>2817</v>
      </c>
      <c r="B263" t="s">
        <v>895</v>
      </c>
      <c r="C263" s="4" t="str">
        <f>IF(ISERROR(_xlfn.XMATCH(B263,newlist!B:B,0)),"not found","found")</f>
        <v>found</v>
      </c>
    </row>
    <row r="264" spans="1:3" hidden="1" x14ac:dyDescent="0.5">
      <c r="A264" t="s">
        <v>2817</v>
      </c>
      <c r="B264" t="s">
        <v>553</v>
      </c>
      <c r="C264" s="4" t="str">
        <f>IF(ISERROR(_xlfn.XMATCH(B264,newlist!B:B,0)),"not found","found")</f>
        <v>found</v>
      </c>
    </row>
    <row r="265" spans="1:3" hidden="1" x14ac:dyDescent="0.5">
      <c r="A265" t="s">
        <v>2817</v>
      </c>
      <c r="B265" t="s">
        <v>299</v>
      </c>
      <c r="C265" s="4" t="str">
        <f>IF(ISERROR(_xlfn.XMATCH(B265,newlist!B:B,0)),"not found","found")</f>
        <v>found</v>
      </c>
    </row>
    <row r="266" spans="1:3" hidden="1" x14ac:dyDescent="0.5">
      <c r="A266" t="s">
        <v>2817</v>
      </c>
      <c r="B266" t="s">
        <v>99</v>
      </c>
      <c r="C266" s="4" t="str">
        <f>IF(ISERROR(_xlfn.XMATCH(B266,newlist!B:B,0)),"not found","found")</f>
        <v>found</v>
      </c>
    </row>
    <row r="267" spans="1:3" hidden="1" x14ac:dyDescent="0.5">
      <c r="A267" t="s">
        <v>2817</v>
      </c>
      <c r="B267" t="s">
        <v>967</v>
      </c>
      <c r="C267" s="4" t="str">
        <f>IF(ISERROR(_xlfn.XMATCH(B267,newlist!B:B,0)),"not found","found")</f>
        <v>found</v>
      </c>
    </row>
    <row r="268" spans="1:3" hidden="1" x14ac:dyDescent="0.5">
      <c r="A268" t="s">
        <v>2817</v>
      </c>
      <c r="B268" t="s">
        <v>119</v>
      </c>
      <c r="C268" s="4" t="str">
        <f>IF(ISERROR(_xlfn.XMATCH(B268,newlist!B:B,0)),"not found","found")</f>
        <v>found</v>
      </c>
    </row>
    <row r="269" spans="1:3" hidden="1" x14ac:dyDescent="0.5">
      <c r="A269" t="s">
        <v>2817</v>
      </c>
      <c r="B269" t="s">
        <v>261</v>
      </c>
      <c r="C269" s="4" t="str">
        <f>IF(ISERROR(_xlfn.XMATCH(B269,newlist!B:B,0)),"not found","found")</f>
        <v>found</v>
      </c>
    </row>
    <row r="270" spans="1:3" hidden="1" x14ac:dyDescent="0.5">
      <c r="A270" t="s">
        <v>2817</v>
      </c>
      <c r="B270" t="s">
        <v>391</v>
      </c>
      <c r="C270" s="4" t="str">
        <f>IF(ISERROR(_xlfn.XMATCH(B270,newlist!B:B,0)),"not found","found")</f>
        <v>found</v>
      </c>
    </row>
    <row r="271" spans="1:3" hidden="1" x14ac:dyDescent="0.5">
      <c r="A271" t="s">
        <v>2817</v>
      </c>
      <c r="B271" t="s">
        <v>269</v>
      </c>
      <c r="C271" s="4" t="str">
        <f>IF(ISERROR(_xlfn.XMATCH(B271,newlist!B:B,0)),"not found","found")</f>
        <v>found</v>
      </c>
    </row>
    <row r="272" spans="1:3" hidden="1" x14ac:dyDescent="0.5">
      <c r="A272" t="s">
        <v>2817</v>
      </c>
      <c r="B272" t="s">
        <v>425</v>
      </c>
      <c r="C272" s="4" t="str">
        <f>IF(ISERROR(_xlfn.XMATCH(B272,newlist!B:B,0)),"not found","found")</f>
        <v>found</v>
      </c>
    </row>
    <row r="273" spans="1:3" hidden="1" x14ac:dyDescent="0.5">
      <c r="A273" t="s">
        <v>2817</v>
      </c>
      <c r="B273" t="s">
        <v>837</v>
      </c>
      <c r="C273" s="4" t="str">
        <f>IF(ISERROR(_xlfn.XMATCH(B273,newlist!B:B,0)),"not found","found")</f>
        <v>found</v>
      </c>
    </row>
    <row r="274" spans="1:3" hidden="1" x14ac:dyDescent="0.5">
      <c r="A274" t="s">
        <v>2817</v>
      </c>
      <c r="B274" t="s">
        <v>759</v>
      </c>
      <c r="C274" s="4" t="str">
        <f>IF(ISERROR(_xlfn.XMATCH(B274,newlist!B:B,0)),"not found","found")</f>
        <v>found</v>
      </c>
    </row>
    <row r="275" spans="1:3" hidden="1" x14ac:dyDescent="0.5">
      <c r="A275" t="s">
        <v>2817</v>
      </c>
      <c r="B275" t="s">
        <v>679</v>
      </c>
      <c r="C275" s="4" t="str">
        <f>IF(ISERROR(_xlfn.XMATCH(B275,newlist!B:B,0)),"not found","found")</f>
        <v>found</v>
      </c>
    </row>
    <row r="276" spans="1:3" hidden="1" x14ac:dyDescent="0.5">
      <c r="A276" t="s">
        <v>2817</v>
      </c>
      <c r="B276" t="s">
        <v>153</v>
      </c>
      <c r="C276" s="4" t="str">
        <f>IF(ISERROR(_xlfn.XMATCH(B276,newlist!B:B,0)),"not found","found")</f>
        <v>found</v>
      </c>
    </row>
    <row r="277" spans="1:3" hidden="1" x14ac:dyDescent="0.5">
      <c r="A277" t="s">
        <v>2817</v>
      </c>
      <c r="B277" t="s">
        <v>511</v>
      </c>
      <c r="C277" s="4" t="str">
        <f>IF(ISERROR(_xlfn.XMATCH(B277,newlist!B:B,0)),"not found","found")</f>
        <v>found</v>
      </c>
    </row>
    <row r="278" spans="1:3" hidden="1" x14ac:dyDescent="0.5">
      <c r="A278" t="s">
        <v>2817</v>
      </c>
      <c r="B278" t="s">
        <v>107</v>
      </c>
      <c r="C278" s="4" t="str">
        <f>IF(ISERROR(_xlfn.XMATCH(B278,newlist!B:B,0)),"not found","found")</f>
        <v>found</v>
      </c>
    </row>
    <row r="279" spans="1:3" hidden="1" x14ac:dyDescent="0.5">
      <c r="A279" t="s">
        <v>2817</v>
      </c>
      <c r="B279" t="s">
        <v>91</v>
      </c>
      <c r="C279" s="4" t="str">
        <f>IF(ISERROR(_xlfn.XMATCH(B279,newlist!B:B,0)),"not found","found")</f>
        <v>found</v>
      </c>
    </row>
    <row r="280" spans="1:3" hidden="1" x14ac:dyDescent="0.5">
      <c r="A280" t="s">
        <v>2817</v>
      </c>
      <c r="B280" t="s">
        <v>395</v>
      </c>
      <c r="C280" s="4" t="str">
        <f>IF(ISERROR(_xlfn.XMATCH(B280,newlist!B:B,0)),"not found","found")</f>
        <v>found</v>
      </c>
    </row>
    <row r="281" spans="1:3" hidden="1" x14ac:dyDescent="0.5">
      <c r="A281" t="s">
        <v>2817</v>
      </c>
      <c r="B281" t="s">
        <v>575</v>
      </c>
      <c r="C281" s="4" t="str">
        <f>IF(ISERROR(_xlfn.XMATCH(B281,newlist!B:B,0)),"not found","found")</f>
        <v>found</v>
      </c>
    </row>
    <row r="282" spans="1:3" hidden="1" x14ac:dyDescent="0.5">
      <c r="A282" t="s">
        <v>2817</v>
      </c>
      <c r="B282" t="s">
        <v>795</v>
      </c>
      <c r="C282" s="4" t="str">
        <f>IF(ISERROR(_xlfn.XMATCH(B282,newlist!B:B,0)),"not found","found")</f>
        <v>found</v>
      </c>
    </row>
    <row r="283" spans="1:3" hidden="1" x14ac:dyDescent="0.5">
      <c r="A283" t="s">
        <v>2817</v>
      </c>
      <c r="B283" t="s">
        <v>899</v>
      </c>
      <c r="C283" s="4" t="str">
        <f>IF(ISERROR(_xlfn.XMATCH(B283,newlist!B:B,0)),"not found","found")</f>
        <v>found</v>
      </c>
    </row>
    <row r="284" spans="1:3" hidden="1" x14ac:dyDescent="0.5">
      <c r="A284" t="s">
        <v>2817</v>
      </c>
      <c r="B284" t="s">
        <v>689</v>
      </c>
      <c r="C284" s="4" t="str">
        <f>IF(ISERROR(_xlfn.XMATCH(B284,newlist!B:B,0)),"not found","found")</f>
        <v>found</v>
      </c>
    </row>
    <row r="285" spans="1:3" hidden="1" x14ac:dyDescent="0.5">
      <c r="A285" t="s">
        <v>2817</v>
      </c>
      <c r="B285" t="s">
        <v>59</v>
      </c>
      <c r="C285" s="4" t="str">
        <f>IF(ISERROR(_xlfn.XMATCH(B285,newlist!B:B,0)),"not found","found")</f>
        <v>found</v>
      </c>
    </row>
    <row r="286" spans="1:3" hidden="1" x14ac:dyDescent="0.5">
      <c r="A286" t="s">
        <v>2817</v>
      </c>
      <c r="B286" t="s">
        <v>707</v>
      </c>
      <c r="C286" s="4" t="str">
        <f>IF(ISERROR(_xlfn.XMATCH(B286,newlist!B:B,0)),"not found","found")</f>
        <v>found</v>
      </c>
    </row>
    <row r="287" spans="1:3" hidden="1" x14ac:dyDescent="0.5">
      <c r="A287" t="s">
        <v>2817</v>
      </c>
      <c r="B287" t="s">
        <v>451</v>
      </c>
      <c r="C287" s="4" t="str">
        <f>IF(ISERROR(_xlfn.XMATCH(B287,newlist!B:B,0)),"not found","found")</f>
        <v>found</v>
      </c>
    </row>
    <row r="288" spans="1:3" hidden="1" x14ac:dyDescent="0.5">
      <c r="A288" t="s">
        <v>2817</v>
      </c>
      <c r="B288" t="s">
        <v>805</v>
      </c>
      <c r="C288" s="4" t="str">
        <f>IF(ISERROR(_xlfn.XMATCH(B288,newlist!B:B,0)),"not found","found")</f>
        <v>found</v>
      </c>
    </row>
    <row r="289" spans="1:3" hidden="1" x14ac:dyDescent="0.5">
      <c r="A289" t="s">
        <v>2817</v>
      </c>
      <c r="B289" t="s">
        <v>789</v>
      </c>
      <c r="C289" s="4" t="str">
        <f>IF(ISERROR(_xlfn.XMATCH(B289,newlist!B:B,0)),"not found","found")</f>
        <v>found</v>
      </c>
    </row>
    <row r="290" spans="1:3" hidden="1" x14ac:dyDescent="0.5">
      <c r="A290" t="s">
        <v>2817</v>
      </c>
      <c r="B290" t="s">
        <v>151</v>
      </c>
      <c r="C290" s="4" t="str">
        <f>IF(ISERROR(_xlfn.XMATCH(B290,newlist!B:B,0)),"not found","found")</f>
        <v>found</v>
      </c>
    </row>
    <row r="291" spans="1:3" hidden="1" x14ac:dyDescent="0.5">
      <c r="A291" t="s">
        <v>2817</v>
      </c>
      <c r="B291" t="s">
        <v>179</v>
      </c>
      <c r="C291" s="4" t="str">
        <f>IF(ISERROR(_xlfn.XMATCH(B291,newlist!B:B,0)),"not found","found")</f>
        <v>found</v>
      </c>
    </row>
    <row r="292" spans="1:3" hidden="1" x14ac:dyDescent="0.5">
      <c r="A292" t="s">
        <v>2817</v>
      </c>
      <c r="B292" t="s">
        <v>963</v>
      </c>
      <c r="C292" s="4" t="str">
        <f>IF(ISERROR(_xlfn.XMATCH(B292,newlist!B:B,0)),"not found","found")</f>
        <v>found</v>
      </c>
    </row>
    <row r="293" spans="1:3" hidden="1" x14ac:dyDescent="0.5">
      <c r="A293" t="s">
        <v>2817</v>
      </c>
      <c r="B293" t="s">
        <v>131</v>
      </c>
      <c r="C293" s="4" t="str">
        <f>IF(ISERROR(_xlfn.XMATCH(B293,newlist!B:B,0)),"not found","found")</f>
        <v>found</v>
      </c>
    </row>
    <row r="294" spans="1:3" hidden="1" x14ac:dyDescent="0.5">
      <c r="A294" t="s">
        <v>2817</v>
      </c>
      <c r="B294" t="s">
        <v>323</v>
      </c>
      <c r="C294" s="4" t="str">
        <f>IF(ISERROR(_xlfn.XMATCH(B294,newlist!B:B,0)),"not found","found")</f>
        <v>found</v>
      </c>
    </row>
    <row r="295" spans="1:3" hidden="1" x14ac:dyDescent="0.5">
      <c r="A295" t="s">
        <v>2817</v>
      </c>
      <c r="B295" t="s">
        <v>741</v>
      </c>
      <c r="C295" s="4" t="str">
        <f>IF(ISERROR(_xlfn.XMATCH(B295,newlist!B:B,0)),"not found","found")</f>
        <v>found</v>
      </c>
    </row>
    <row r="296" spans="1:3" hidden="1" x14ac:dyDescent="0.5">
      <c r="A296" t="s">
        <v>2817</v>
      </c>
      <c r="B296" t="s">
        <v>305</v>
      </c>
      <c r="C296" s="4" t="str">
        <f>IF(ISERROR(_xlfn.XMATCH(B296,newlist!B:B,0)),"not found","found")</f>
        <v>found</v>
      </c>
    </row>
    <row r="297" spans="1:3" hidden="1" x14ac:dyDescent="0.5">
      <c r="A297" t="s">
        <v>2817</v>
      </c>
      <c r="B297" t="s">
        <v>1040</v>
      </c>
      <c r="C297" s="4" t="str">
        <f>IF(ISERROR(_xlfn.XMATCH(B297,newlist!B:B,0)),"not found","found")</f>
        <v>found</v>
      </c>
    </row>
    <row r="298" spans="1:3" hidden="1" x14ac:dyDescent="0.5">
      <c r="A298" t="s">
        <v>2817</v>
      </c>
      <c r="B298" t="s">
        <v>486</v>
      </c>
      <c r="C298" s="4" t="str">
        <f>IF(ISERROR(_xlfn.XMATCH(B298,newlist!B:B,0)),"not found","found")</f>
        <v>found</v>
      </c>
    </row>
    <row r="299" spans="1:3" hidden="1" x14ac:dyDescent="0.5">
      <c r="A299" t="s">
        <v>2817</v>
      </c>
      <c r="B299" t="s">
        <v>369</v>
      </c>
      <c r="C299" s="4" t="str">
        <f>IF(ISERROR(_xlfn.XMATCH(B299,newlist!B:B,0)),"not found","found")</f>
        <v>found</v>
      </c>
    </row>
    <row r="300" spans="1:3" hidden="1" x14ac:dyDescent="0.5">
      <c r="A300" t="s">
        <v>2817</v>
      </c>
      <c r="B300" t="s">
        <v>155</v>
      </c>
      <c r="C300" s="4" t="str">
        <f>IF(ISERROR(_xlfn.XMATCH(B300,newlist!B:B,0)),"not found","found")</f>
        <v>found</v>
      </c>
    </row>
    <row r="301" spans="1:3" hidden="1" x14ac:dyDescent="0.5">
      <c r="A301" t="s">
        <v>2817</v>
      </c>
      <c r="B301" t="s">
        <v>449</v>
      </c>
      <c r="C301" s="4" t="str">
        <f>IF(ISERROR(_xlfn.XMATCH(B301,newlist!B:B,0)),"not found","found")</f>
        <v>found</v>
      </c>
    </row>
    <row r="302" spans="1:3" hidden="1" x14ac:dyDescent="0.5">
      <c r="A302" t="s">
        <v>2817</v>
      </c>
      <c r="B302" t="s">
        <v>359</v>
      </c>
      <c r="C302" s="4" t="str">
        <f>IF(ISERROR(_xlfn.XMATCH(B302,newlist!B:B,0)),"not found","found")</f>
        <v>found</v>
      </c>
    </row>
    <row r="303" spans="1:3" hidden="1" x14ac:dyDescent="0.5">
      <c r="A303" t="s">
        <v>2817</v>
      </c>
      <c r="B303" t="s">
        <v>297</v>
      </c>
      <c r="C303" s="4" t="str">
        <f>IF(ISERROR(_xlfn.XMATCH(B303,newlist!B:B,0)),"not found","found")</f>
        <v>found</v>
      </c>
    </row>
    <row r="304" spans="1:3" hidden="1" x14ac:dyDescent="0.5">
      <c r="A304" t="s">
        <v>2817</v>
      </c>
      <c r="B304" t="s">
        <v>462</v>
      </c>
      <c r="C304" s="4" t="str">
        <f>IF(ISERROR(_xlfn.XMATCH(B304,newlist!B:B,0)),"not found","found")</f>
        <v>found</v>
      </c>
    </row>
    <row r="305" spans="1:3" hidden="1" x14ac:dyDescent="0.5">
      <c r="A305" t="s">
        <v>2817</v>
      </c>
      <c r="B305" t="s">
        <v>257</v>
      </c>
      <c r="C305" s="4" t="str">
        <f>IF(ISERROR(_xlfn.XMATCH(B305,newlist!B:B,0)),"not found","found")</f>
        <v>found</v>
      </c>
    </row>
    <row r="306" spans="1:3" hidden="1" x14ac:dyDescent="0.5">
      <c r="A306" t="s">
        <v>2817</v>
      </c>
      <c r="B306" t="s">
        <v>994</v>
      </c>
      <c r="C306" s="4" t="str">
        <f>IF(ISERROR(_xlfn.XMATCH(B306,newlist!B:B,0)),"not found","found")</f>
        <v>found</v>
      </c>
    </row>
    <row r="307" spans="1:3" hidden="1" x14ac:dyDescent="0.5">
      <c r="A307" t="s">
        <v>2817</v>
      </c>
      <c r="B307" t="s">
        <v>198</v>
      </c>
      <c r="C307" s="4" t="str">
        <f>IF(ISERROR(_xlfn.XMATCH(B307,newlist!B:B,0)),"not found","found")</f>
        <v>found</v>
      </c>
    </row>
    <row r="308" spans="1:3" hidden="1" x14ac:dyDescent="0.5">
      <c r="A308" t="s">
        <v>2817</v>
      </c>
      <c r="B308" t="s">
        <v>665</v>
      </c>
      <c r="C308" s="4" t="str">
        <f>IF(ISERROR(_xlfn.XMATCH(B308,newlist!B:B,0)),"not found","found")</f>
        <v>found</v>
      </c>
    </row>
    <row r="309" spans="1:3" hidden="1" x14ac:dyDescent="0.5">
      <c r="A309" t="s">
        <v>2817</v>
      </c>
      <c r="B309" t="s">
        <v>872</v>
      </c>
      <c r="C309" s="4" t="str">
        <f>IF(ISERROR(_xlfn.XMATCH(B309,newlist!B:B,0)),"not found","found")</f>
        <v>found</v>
      </c>
    </row>
    <row r="310" spans="1:3" hidden="1" x14ac:dyDescent="0.5">
      <c r="A310" t="s">
        <v>2817</v>
      </c>
      <c r="B310" t="s">
        <v>208</v>
      </c>
      <c r="C310" s="4" t="str">
        <f>IF(ISERROR(_xlfn.XMATCH(B310,newlist!B:B,0)),"not found","found")</f>
        <v>found</v>
      </c>
    </row>
    <row r="311" spans="1:3" hidden="1" x14ac:dyDescent="0.5">
      <c r="A311" t="s">
        <v>2817</v>
      </c>
      <c r="B311" t="s">
        <v>347</v>
      </c>
      <c r="C311" s="4" t="str">
        <f>IF(ISERROR(_xlfn.XMATCH(B311,newlist!B:B,0)),"not found","found")</f>
        <v>found</v>
      </c>
    </row>
    <row r="312" spans="1:3" hidden="1" x14ac:dyDescent="0.5">
      <c r="A312" t="s">
        <v>2817</v>
      </c>
      <c r="B312" t="s">
        <v>75</v>
      </c>
      <c r="C312" s="4" t="str">
        <f>IF(ISERROR(_xlfn.XMATCH(B312,newlist!B:B,0)),"not found","found")</f>
        <v>found</v>
      </c>
    </row>
    <row r="313" spans="1:3" hidden="1" x14ac:dyDescent="0.5">
      <c r="A313" t="s">
        <v>2817</v>
      </c>
      <c r="B313" t="s">
        <v>427</v>
      </c>
      <c r="C313" s="4" t="str">
        <f>IF(ISERROR(_xlfn.XMATCH(B313,newlist!B:B,0)),"not found","found")</f>
        <v>found</v>
      </c>
    </row>
    <row r="314" spans="1:3" hidden="1" x14ac:dyDescent="0.5">
      <c r="A314" t="s">
        <v>2817</v>
      </c>
      <c r="B314" t="s">
        <v>771</v>
      </c>
      <c r="C314" s="4" t="str">
        <f>IF(ISERROR(_xlfn.XMATCH(B314,newlist!B:B,0)),"not found","found")</f>
        <v>found</v>
      </c>
    </row>
    <row r="315" spans="1:3" hidden="1" x14ac:dyDescent="0.5">
      <c r="A315" t="s">
        <v>2817</v>
      </c>
      <c r="B315" t="s">
        <v>610</v>
      </c>
      <c r="C315" s="4" t="str">
        <f>IF(ISERROR(_xlfn.XMATCH(B315,newlist!B:B,0)),"not found","found")</f>
        <v>found</v>
      </c>
    </row>
    <row r="316" spans="1:3" hidden="1" x14ac:dyDescent="0.5">
      <c r="A316" t="s">
        <v>2817</v>
      </c>
      <c r="B316" t="s">
        <v>649</v>
      </c>
      <c r="C316" s="4" t="str">
        <f>IF(ISERROR(_xlfn.XMATCH(B316,newlist!B:B,0)),"not found","found")</f>
        <v>found</v>
      </c>
    </row>
    <row r="317" spans="1:3" hidden="1" x14ac:dyDescent="0.5">
      <c r="A317" t="s">
        <v>2817</v>
      </c>
      <c r="B317" t="s">
        <v>54</v>
      </c>
      <c r="C317" s="4" t="str">
        <f>IF(ISERROR(_xlfn.XMATCH(B317,newlist!B:B,0)),"not found","found")</f>
        <v>found</v>
      </c>
    </row>
    <row r="318" spans="1:3" hidden="1" x14ac:dyDescent="0.5">
      <c r="A318" t="s">
        <v>2817</v>
      </c>
      <c r="B318" t="s">
        <v>701</v>
      </c>
      <c r="C318" s="4" t="str">
        <f>IF(ISERROR(_xlfn.XMATCH(B318,newlist!B:B,0)),"not found","found")</f>
        <v>found</v>
      </c>
    </row>
    <row r="319" spans="1:3" hidden="1" x14ac:dyDescent="0.5">
      <c r="A319" t="s">
        <v>2817</v>
      </c>
      <c r="B319" t="s">
        <v>671</v>
      </c>
      <c r="C319" s="4" t="str">
        <f>IF(ISERROR(_xlfn.XMATCH(B319,newlist!B:B,0)),"not found","found")</f>
        <v>found</v>
      </c>
    </row>
    <row r="320" spans="1:3" hidden="1" x14ac:dyDescent="0.5">
      <c r="A320" t="s">
        <v>2817</v>
      </c>
      <c r="B320" t="s">
        <v>669</v>
      </c>
      <c r="C320" s="4" t="str">
        <f>IF(ISERROR(_xlfn.XMATCH(B320,newlist!B:B,0)),"not found","found")</f>
        <v>found</v>
      </c>
    </row>
    <row r="321" spans="1:3" hidden="1" x14ac:dyDescent="0.5">
      <c r="A321" t="s">
        <v>2817</v>
      </c>
      <c r="B321" t="s">
        <v>870</v>
      </c>
      <c r="C321" s="4" t="str">
        <f>IF(ISERROR(_xlfn.XMATCH(B321,newlist!B:B,0)),"not found","found")</f>
        <v>found</v>
      </c>
    </row>
    <row r="322" spans="1:3" hidden="1" x14ac:dyDescent="0.5">
      <c r="A322" t="s">
        <v>2817</v>
      </c>
      <c r="B322" t="s">
        <v>333</v>
      </c>
      <c r="C322" s="4" t="str">
        <f>IF(ISERROR(_xlfn.XMATCH(B322,newlist!B:B,0)),"not found","found")</f>
        <v>found</v>
      </c>
    </row>
    <row r="323" spans="1:3" hidden="1" x14ac:dyDescent="0.5">
      <c r="A323" t="s">
        <v>2817</v>
      </c>
      <c r="B323" t="s">
        <v>731</v>
      </c>
      <c r="C323" s="4" t="str">
        <f>IF(ISERROR(_xlfn.XMATCH(B323,newlist!B:B,0)),"not found","found")</f>
        <v>found</v>
      </c>
    </row>
    <row r="324" spans="1:3" hidden="1" x14ac:dyDescent="0.5">
      <c r="A324" t="s">
        <v>2817</v>
      </c>
      <c r="B324" t="s">
        <v>291</v>
      </c>
      <c r="C324" s="4" t="str">
        <f>IF(ISERROR(_xlfn.XMATCH(B324,newlist!B:B,0)),"not found","found")</f>
        <v>found</v>
      </c>
    </row>
    <row r="325" spans="1:3" hidden="1" x14ac:dyDescent="0.5">
      <c r="A325" t="s">
        <v>2817</v>
      </c>
      <c r="B325" t="s">
        <v>441</v>
      </c>
      <c r="C325" s="4" t="str">
        <f>IF(ISERROR(_xlfn.XMATCH(B325,newlist!B:B,0)),"not found","found")</f>
        <v>found</v>
      </c>
    </row>
    <row r="326" spans="1:3" hidden="1" x14ac:dyDescent="0.5">
      <c r="A326" t="s">
        <v>2817</v>
      </c>
      <c r="B326" t="s">
        <v>23</v>
      </c>
      <c r="C326" s="4" t="str">
        <f>IF(ISERROR(_xlfn.XMATCH(B326,newlist!B:B,0)),"not found","found")</f>
        <v>found</v>
      </c>
    </row>
    <row r="327" spans="1:3" hidden="1" x14ac:dyDescent="0.5">
      <c r="A327" t="s">
        <v>2817</v>
      </c>
      <c r="B327" t="s">
        <v>145</v>
      </c>
      <c r="C327" s="4" t="str">
        <f>IF(ISERROR(_xlfn.XMATCH(B327,newlist!B:B,0)),"not found","found")</f>
        <v>found</v>
      </c>
    </row>
    <row r="328" spans="1:3" hidden="1" x14ac:dyDescent="0.5">
      <c r="A328" t="s">
        <v>2817</v>
      </c>
      <c r="B328" t="s">
        <v>747</v>
      </c>
      <c r="C328" s="4" t="str">
        <f>IF(ISERROR(_xlfn.XMATCH(B328,newlist!B:B,0)),"not found","found")</f>
        <v>found</v>
      </c>
    </row>
    <row r="329" spans="1:3" hidden="1" x14ac:dyDescent="0.5">
      <c r="A329" t="s">
        <v>2817</v>
      </c>
      <c r="B329" t="s">
        <v>385</v>
      </c>
      <c r="C329" s="4" t="str">
        <f>IF(ISERROR(_xlfn.XMATCH(B329,newlist!B:B,0)),"not found","found")</f>
        <v>found</v>
      </c>
    </row>
    <row r="330" spans="1:3" hidden="1" x14ac:dyDescent="0.5">
      <c r="A330" t="s">
        <v>2817</v>
      </c>
      <c r="B330" t="s">
        <v>235</v>
      </c>
      <c r="C330" s="4" t="str">
        <f>IF(ISERROR(_xlfn.XMATCH(B330,newlist!B:B,0)),"not found","found")</f>
        <v>found</v>
      </c>
    </row>
    <row r="331" spans="1:3" hidden="1" x14ac:dyDescent="0.5">
      <c r="A331" t="s">
        <v>2817</v>
      </c>
      <c r="B331" t="s">
        <v>661</v>
      </c>
      <c r="C331" s="4" t="str">
        <f>IF(ISERROR(_xlfn.XMATCH(B331,newlist!B:B,0)),"not found","found")</f>
        <v>found</v>
      </c>
    </row>
    <row r="332" spans="1:3" hidden="1" x14ac:dyDescent="0.5">
      <c r="A332" t="s">
        <v>2817</v>
      </c>
      <c r="B332" t="s">
        <v>281</v>
      </c>
      <c r="C332" s="4" t="str">
        <f>IF(ISERROR(_xlfn.XMATCH(B332,newlist!B:B,0)),"not found","found")</f>
        <v>found</v>
      </c>
    </row>
    <row r="333" spans="1:3" hidden="1" x14ac:dyDescent="0.5">
      <c r="A333" t="s">
        <v>2817</v>
      </c>
      <c r="B333" t="s">
        <v>171</v>
      </c>
      <c r="C333" s="4" t="str">
        <f>IF(ISERROR(_xlfn.XMATCH(B333,newlist!B:B,0)),"not found","found")</f>
        <v>found</v>
      </c>
    </row>
    <row r="334" spans="1:3" hidden="1" x14ac:dyDescent="0.5">
      <c r="A334" t="s">
        <v>2817</v>
      </c>
      <c r="B334" t="s">
        <v>977</v>
      </c>
      <c r="C334" s="4" t="str">
        <f>IF(ISERROR(_xlfn.XMATCH(B334,newlist!B:B,0)),"not found","found")</f>
        <v>found</v>
      </c>
    </row>
    <row r="335" spans="1:3" hidden="1" x14ac:dyDescent="0.5">
      <c r="A335" t="s">
        <v>2817</v>
      </c>
      <c r="B335" t="s">
        <v>779</v>
      </c>
      <c r="C335" s="4" t="str">
        <f>IF(ISERROR(_xlfn.XMATCH(B335,newlist!B:B,0)),"not found","found")</f>
        <v>found</v>
      </c>
    </row>
    <row r="336" spans="1:3" hidden="1" x14ac:dyDescent="0.5">
      <c r="A336" t="s">
        <v>2817</v>
      </c>
      <c r="B336" t="s">
        <v>226</v>
      </c>
      <c r="C336" s="4" t="str">
        <f>IF(ISERROR(_xlfn.XMATCH(B336,newlist!B:B,0)),"not found","found")</f>
        <v>found</v>
      </c>
    </row>
    <row r="337" spans="1:3" hidden="1" x14ac:dyDescent="0.5">
      <c r="A337" t="s">
        <v>2817</v>
      </c>
      <c r="B337" t="s">
        <v>401</v>
      </c>
      <c r="C337" s="4" t="str">
        <f>IF(ISERROR(_xlfn.XMATCH(B337,newlist!B:B,0)),"not found","found")</f>
        <v>found</v>
      </c>
    </row>
    <row r="338" spans="1:3" hidden="1" x14ac:dyDescent="0.5">
      <c r="A338" t="s">
        <v>2817</v>
      </c>
      <c r="B338" t="s">
        <v>723</v>
      </c>
      <c r="C338" s="4" t="str">
        <f>IF(ISERROR(_xlfn.XMATCH(B338,newlist!B:B,0)),"not found","found")</f>
        <v>found</v>
      </c>
    </row>
    <row r="339" spans="1:3" hidden="1" x14ac:dyDescent="0.5">
      <c r="A339" t="s">
        <v>2817</v>
      </c>
      <c r="B339" t="s">
        <v>389</v>
      </c>
      <c r="C339" s="4" t="str">
        <f>IF(ISERROR(_xlfn.XMATCH(B339,newlist!B:B,0)),"not found","found")</f>
        <v>found</v>
      </c>
    </row>
    <row r="340" spans="1:3" hidden="1" x14ac:dyDescent="0.5">
      <c r="A340" t="s">
        <v>2817</v>
      </c>
      <c r="B340" t="s">
        <v>109</v>
      </c>
      <c r="C340" s="4" t="str">
        <f>IF(ISERROR(_xlfn.XMATCH(B340,newlist!B:B,0)),"not found","found")</f>
        <v>found</v>
      </c>
    </row>
    <row r="341" spans="1:3" hidden="1" x14ac:dyDescent="0.5">
      <c r="A341" t="s">
        <v>2817</v>
      </c>
      <c r="B341" t="s">
        <v>955</v>
      </c>
      <c r="C341" s="4" t="str">
        <f>IF(ISERROR(_xlfn.XMATCH(B341,newlist!B:B,0)),"not found","found")</f>
        <v>found</v>
      </c>
    </row>
    <row r="342" spans="1:3" hidden="1" x14ac:dyDescent="0.5">
      <c r="A342" t="s">
        <v>2817</v>
      </c>
      <c r="B342" t="s">
        <v>823</v>
      </c>
      <c r="C342" s="4" t="str">
        <f>IF(ISERROR(_xlfn.XMATCH(B342,newlist!B:B,0)),"not found","found")</f>
        <v>found</v>
      </c>
    </row>
    <row r="343" spans="1:3" hidden="1" x14ac:dyDescent="0.5">
      <c r="A343" t="s">
        <v>2817</v>
      </c>
      <c r="B343" t="s">
        <v>490</v>
      </c>
      <c r="C343" s="4" t="str">
        <f>IF(ISERROR(_xlfn.XMATCH(B343,newlist!B:B,0)),"not found","found")</f>
        <v>found</v>
      </c>
    </row>
    <row r="344" spans="1:3" hidden="1" x14ac:dyDescent="0.5">
      <c r="A344" t="s">
        <v>2817</v>
      </c>
      <c r="B344" t="s">
        <v>317</v>
      </c>
      <c r="C344" s="4" t="str">
        <f>IF(ISERROR(_xlfn.XMATCH(B344,newlist!B:B,0)),"not found","found")</f>
        <v>found</v>
      </c>
    </row>
    <row r="345" spans="1:3" hidden="1" x14ac:dyDescent="0.5">
      <c r="A345" t="s">
        <v>2817</v>
      </c>
      <c r="B345" t="s">
        <v>241</v>
      </c>
      <c r="C345" s="4" t="str">
        <f>IF(ISERROR(_xlfn.XMATCH(B345,newlist!B:B,0)),"not found","found")</f>
        <v>found</v>
      </c>
    </row>
    <row r="346" spans="1:3" hidden="1" x14ac:dyDescent="0.5">
      <c r="A346" t="s">
        <v>2817</v>
      </c>
      <c r="B346" t="s">
        <v>659</v>
      </c>
      <c r="C346" s="4" t="str">
        <f>IF(ISERROR(_xlfn.XMATCH(B346,newlist!B:B,0)),"not found","found")</f>
        <v>found</v>
      </c>
    </row>
    <row r="347" spans="1:3" hidden="1" x14ac:dyDescent="0.5">
      <c r="A347" t="s">
        <v>2817</v>
      </c>
      <c r="B347" t="s">
        <v>117</v>
      </c>
      <c r="C347" s="4" t="str">
        <f>IF(ISERROR(_xlfn.XMATCH(B347,newlist!B:B,0)),"not found","found")</f>
        <v>found</v>
      </c>
    </row>
    <row r="348" spans="1:3" hidden="1" x14ac:dyDescent="0.5">
      <c r="A348" t="s">
        <v>2817</v>
      </c>
      <c r="B348" t="s">
        <v>337</v>
      </c>
      <c r="C348" s="4" t="str">
        <f>IF(ISERROR(_xlfn.XMATCH(B348,newlist!B:B,0)),"not found","found")</f>
        <v>found</v>
      </c>
    </row>
    <row r="349" spans="1:3" hidden="1" x14ac:dyDescent="0.5">
      <c r="A349" t="s">
        <v>2817</v>
      </c>
      <c r="B349" t="s">
        <v>95</v>
      </c>
      <c r="C349" s="4" t="str">
        <f>IF(ISERROR(_xlfn.XMATCH(B349,newlist!B:B,0)),"not found","found")</f>
        <v>found</v>
      </c>
    </row>
    <row r="350" spans="1:3" hidden="1" x14ac:dyDescent="0.5">
      <c r="A350" t="s">
        <v>2817</v>
      </c>
      <c r="B350" t="s">
        <v>363</v>
      </c>
      <c r="C350" s="4" t="str">
        <f>IF(ISERROR(_xlfn.XMATCH(B350,newlist!B:B,0)),"not found","found")</f>
        <v>found</v>
      </c>
    </row>
    <row r="351" spans="1:3" hidden="1" x14ac:dyDescent="0.5">
      <c r="A351" t="s">
        <v>2817</v>
      </c>
      <c r="B351" t="s">
        <v>866</v>
      </c>
      <c r="C351" s="4" t="str">
        <f>IF(ISERROR(_xlfn.XMATCH(B351,newlist!B:B,0)),"not found","found")</f>
        <v>found</v>
      </c>
    </row>
    <row r="352" spans="1:3" hidden="1" x14ac:dyDescent="0.5">
      <c r="A352" t="s">
        <v>2817</v>
      </c>
      <c r="B352" t="s">
        <v>319</v>
      </c>
      <c r="C352" s="4" t="str">
        <f>IF(ISERROR(_xlfn.XMATCH(B352,newlist!B:B,0)),"not found","found")</f>
        <v>found</v>
      </c>
    </row>
    <row r="353" spans="1:3" hidden="1" x14ac:dyDescent="0.5">
      <c r="A353" t="s">
        <v>2817</v>
      </c>
      <c r="B353" t="s">
        <v>39</v>
      </c>
      <c r="C353" s="4" t="str">
        <f>IF(ISERROR(_xlfn.XMATCH(B353,newlist!B:B,0)),"not found","found")</f>
        <v>found</v>
      </c>
    </row>
    <row r="354" spans="1:3" hidden="1" x14ac:dyDescent="0.5">
      <c r="A354" t="s">
        <v>2817</v>
      </c>
      <c r="B354" t="s">
        <v>313</v>
      </c>
      <c r="C354" s="4" t="str">
        <f>IF(ISERROR(_xlfn.XMATCH(B354,newlist!B:B,0)),"not found","found")</f>
        <v>found</v>
      </c>
    </row>
    <row r="355" spans="1:3" hidden="1" x14ac:dyDescent="0.5">
      <c r="A355" t="s">
        <v>2817</v>
      </c>
      <c r="B355" t="s">
        <v>864</v>
      </c>
      <c r="C355" s="4" t="str">
        <f>IF(ISERROR(_xlfn.XMATCH(B355,newlist!B:B,0)),"not found","found")</f>
        <v>found</v>
      </c>
    </row>
    <row r="356" spans="1:3" hidden="1" x14ac:dyDescent="0.5">
      <c r="A356" t="s">
        <v>2817</v>
      </c>
      <c r="B356" t="s">
        <v>87</v>
      </c>
      <c r="C356" s="4" t="str">
        <f>IF(ISERROR(_xlfn.XMATCH(B356,newlist!B:B,0)),"not found","found")</f>
        <v>found</v>
      </c>
    </row>
    <row r="357" spans="1:3" hidden="1" x14ac:dyDescent="0.5">
      <c r="A357" t="s">
        <v>2817</v>
      </c>
      <c r="B357" t="s">
        <v>67</v>
      </c>
      <c r="C357" s="4" t="str">
        <f>IF(ISERROR(_xlfn.XMATCH(B357,newlist!B:B,0)),"not found","found")</f>
        <v>found</v>
      </c>
    </row>
    <row r="358" spans="1:3" hidden="1" x14ac:dyDescent="0.5">
      <c r="A358" t="s">
        <v>2817</v>
      </c>
      <c r="B358" t="s">
        <v>73</v>
      </c>
      <c r="C358" s="4" t="str">
        <f>IF(ISERROR(_xlfn.XMATCH(B358,newlist!B:B,0)),"not found","found")</f>
        <v>found</v>
      </c>
    </row>
    <row r="359" spans="1:3" hidden="1" x14ac:dyDescent="0.5">
      <c r="A359" t="s">
        <v>2817</v>
      </c>
      <c r="B359" t="s">
        <v>860</v>
      </c>
      <c r="C359" s="4" t="str">
        <f>IF(ISERROR(_xlfn.XMATCH(B359,newlist!B:B,0)),"not found","found")</f>
        <v>found</v>
      </c>
    </row>
    <row r="360" spans="1:3" hidden="1" x14ac:dyDescent="0.5">
      <c r="A360" t="s">
        <v>2817</v>
      </c>
      <c r="B360" t="s">
        <v>476</v>
      </c>
      <c r="C360" s="4" t="str">
        <f>IF(ISERROR(_xlfn.XMATCH(B360,newlist!B:B,0)),"not found","found")</f>
        <v>found</v>
      </c>
    </row>
    <row r="361" spans="1:3" hidden="1" x14ac:dyDescent="0.5">
      <c r="A361" t="s">
        <v>2817</v>
      </c>
      <c r="B361" t="s">
        <v>12</v>
      </c>
      <c r="C361" s="4" t="str">
        <f>IF(ISERROR(_xlfn.XMATCH(B361,newlist!B:B,0)),"not found","found")</f>
        <v>found</v>
      </c>
    </row>
    <row r="362" spans="1:3" hidden="1" x14ac:dyDescent="0.5">
      <c r="A362" t="s">
        <v>2817</v>
      </c>
      <c r="B362" t="s">
        <v>753</v>
      </c>
      <c r="C362" s="4" t="str">
        <f>IF(ISERROR(_xlfn.XMATCH(B362,newlist!B:B,0)),"not found","found")</f>
        <v>found</v>
      </c>
    </row>
    <row r="363" spans="1:3" hidden="1" x14ac:dyDescent="0.5">
      <c r="A363" t="s">
        <v>2817</v>
      </c>
      <c r="B363" t="s">
        <v>135</v>
      </c>
      <c r="C363" s="4" t="str">
        <f>IF(ISERROR(_xlfn.XMATCH(B363,newlist!B:B,0)),"not found","found")</f>
        <v>found</v>
      </c>
    </row>
    <row r="364" spans="1:3" hidden="1" x14ac:dyDescent="0.5">
      <c r="A364" t="s">
        <v>2817</v>
      </c>
      <c r="B364" t="s">
        <v>874</v>
      </c>
      <c r="C364" s="4" t="str">
        <f>IF(ISERROR(_xlfn.XMATCH(B364,newlist!B:B,0)),"not found","found")</f>
        <v>found</v>
      </c>
    </row>
    <row r="365" spans="1:3" hidden="1" x14ac:dyDescent="0.5">
      <c r="A365" t="s">
        <v>2817</v>
      </c>
      <c r="B365" t="s">
        <v>353</v>
      </c>
      <c r="C365" s="4" t="str">
        <f>IF(ISERROR(_xlfn.XMATCH(B365,newlist!B:B,0)),"not found","found")</f>
        <v>found</v>
      </c>
    </row>
    <row r="366" spans="1:3" hidden="1" x14ac:dyDescent="0.5">
      <c r="A366" t="s">
        <v>2817</v>
      </c>
      <c r="B366" t="s">
        <v>721</v>
      </c>
      <c r="C366" s="4" t="str">
        <f>IF(ISERROR(_xlfn.XMATCH(B366,newlist!B:B,0)),"not found","found")</f>
        <v>found</v>
      </c>
    </row>
    <row r="367" spans="1:3" hidden="1" x14ac:dyDescent="0.5">
      <c r="A367" t="s">
        <v>2817</v>
      </c>
      <c r="B367" t="s">
        <v>123</v>
      </c>
      <c r="C367" s="4" t="str">
        <f>IF(ISERROR(_xlfn.XMATCH(B367,newlist!B:B,0)),"not found","found")</f>
        <v>found</v>
      </c>
    </row>
    <row r="368" spans="1:3" hidden="1" x14ac:dyDescent="0.5">
      <c r="A368" t="s">
        <v>2817</v>
      </c>
      <c r="B368" t="s">
        <v>165</v>
      </c>
      <c r="C368" s="4" t="str">
        <f>IF(ISERROR(_xlfn.XMATCH(B368,newlist!B:B,0)),"not found","found")</f>
        <v>found</v>
      </c>
    </row>
    <row r="369" spans="1:3" hidden="1" x14ac:dyDescent="0.5">
      <c r="A369" t="s">
        <v>2817</v>
      </c>
      <c r="B369" t="s">
        <v>468</v>
      </c>
      <c r="C369" s="4" t="str">
        <f>IF(ISERROR(_xlfn.XMATCH(B369,newlist!B:B,0)),"not found","found")</f>
        <v>found</v>
      </c>
    </row>
    <row r="370" spans="1:3" hidden="1" x14ac:dyDescent="0.5">
      <c r="A370" t="s">
        <v>2817</v>
      </c>
      <c r="B370" t="s">
        <v>743</v>
      </c>
      <c r="C370" s="4" t="str">
        <f>IF(ISERROR(_xlfn.XMATCH(B370,newlist!B:B,0)),"not found","found")</f>
        <v>found</v>
      </c>
    </row>
    <row r="371" spans="1:3" hidden="1" x14ac:dyDescent="0.5">
      <c r="A371" t="s">
        <v>2817</v>
      </c>
      <c r="B371" t="s">
        <v>735</v>
      </c>
      <c r="C371" s="4" t="str">
        <f>IF(ISERROR(_xlfn.XMATCH(B371,newlist!B:B,0)),"not found","found")</f>
        <v>found</v>
      </c>
    </row>
    <row r="372" spans="1:3" hidden="1" x14ac:dyDescent="0.5">
      <c r="A372" t="s">
        <v>2817</v>
      </c>
      <c r="B372" t="s">
        <v>83</v>
      </c>
      <c r="C372" s="4" t="str">
        <f>IF(ISERROR(_xlfn.XMATCH(B372,newlist!B:B,0)),"not found","found")</f>
        <v>found</v>
      </c>
    </row>
    <row r="373" spans="1:3" hidden="1" x14ac:dyDescent="0.5">
      <c r="A373" t="s">
        <v>2817</v>
      </c>
      <c r="B373" t="s">
        <v>783</v>
      </c>
      <c r="C373" s="4" t="str">
        <f>IF(ISERROR(_xlfn.XMATCH(B373,newlist!B:B,0)),"not found","found")</f>
        <v>found</v>
      </c>
    </row>
    <row r="374" spans="1:3" hidden="1" x14ac:dyDescent="0.5">
      <c r="A374" t="s">
        <v>2817</v>
      </c>
      <c r="B374" t="s">
        <v>411</v>
      </c>
      <c r="C374" s="4" t="str">
        <f>IF(ISERROR(_xlfn.XMATCH(B374,newlist!B:B,0)),"not found","found")</f>
        <v>found</v>
      </c>
    </row>
    <row r="375" spans="1:3" hidden="1" x14ac:dyDescent="0.5">
      <c r="A375" t="s">
        <v>2817</v>
      </c>
      <c r="B375" t="s">
        <v>600</v>
      </c>
      <c r="C375" s="4" t="str">
        <f>IF(ISERROR(_xlfn.XMATCH(B375,newlist!B:B,0)),"not found","found")</f>
        <v>found</v>
      </c>
    </row>
    <row r="376" spans="1:3" hidden="1" x14ac:dyDescent="0.5">
      <c r="A376" t="s">
        <v>2817</v>
      </c>
      <c r="B376" t="s">
        <v>474</v>
      </c>
      <c r="C376" s="4" t="str">
        <f>IF(ISERROR(_xlfn.XMATCH(B376,newlist!B:B,0)),"not found","found")</f>
        <v>found</v>
      </c>
    </row>
    <row r="377" spans="1:3" hidden="1" x14ac:dyDescent="0.5">
      <c r="A377" t="s">
        <v>1051</v>
      </c>
      <c r="B377" t="s">
        <v>1641</v>
      </c>
      <c r="C377" s="4" t="str">
        <f>IF(ISERROR(_xlfn.XMATCH(B377,newlist!B:B,0)),"not found","found")</f>
        <v>found</v>
      </c>
    </row>
    <row r="378" spans="1:3" hidden="1" x14ac:dyDescent="0.5">
      <c r="A378" t="s">
        <v>1051</v>
      </c>
      <c r="B378" t="s">
        <v>1407</v>
      </c>
      <c r="C378" s="4" t="str">
        <f>IF(ISERROR(_xlfn.XMATCH(B378,newlist!B:B,0)),"not found","found")</f>
        <v>found</v>
      </c>
    </row>
    <row r="379" spans="1:3" hidden="1" x14ac:dyDescent="0.5">
      <c r="A379" t="s">
        <v>1051</v>
      </c>
      <c r="B379" t="s">
        <v>1893</v>
      </c>
      <c r="C379" s="4" t="str">
        <f>IF(ISERROR(_xlfn.XMATCH(B379,newlist!B:B,0)),"not found","found")</f>
        <v>found</v>
      </c>
    </row>
    <row r="380" spans="1:3" hidden="1" x14ac:dyDescent="0.5">
      <c r="A380" t="s">
        <v>1051</v>
      </c>
      <c r="B380" t="s">
        <v>1755</v>
      </c>
      <c r="C380" s="4" t="str">
        <f>IF(ISERROR(_xlfn.XMATCH(B380,newlist!B:B,0)),"not found","found")</f>
        <v>found</v>
      </c>
    </row>
    <row r="381" spans="1:3" hidden="1" x14ac:dyDescent="0.5">
      <c r="A381" t="s">
        <v>1051</v>
      </c>
      <c r="B381" t="s">
        <v>1737</v>
      </c>
      <c r="C381" s="4" t="str">
        <f>IF(ISERROR(_xlfn.XMATCH(B381,newlist!B:B,0)),"not found","found")</f>
        <v>found</v>
      </c>
    </row>
    <row r="382" spans="1:3" hidden="1" x14ac:dyDescent="0.5">
      <c r="A382" t="s">
        <v>1051</v>
      </c>
      <c r="B382" t="s">
        <v>1627</v>
      </c>
      <c r="C382" s="4" t="str">
        <f>IF(ISERROR(_xlfn.XMATCH(B382,newlist!B:B,0)),"not found","found")</f>
        <v>found</v>
      </c>
    </row>
    <row r="383" spans="1:3" hidden="1" x14ac:dyDescent="0.5">
      <c r="A383" t="s">
        <v>1051</v>
      </c>
      <c r="B383" t="s">
        <v>1919</v>
      </c>
      <c r="C383" s="4" t="str">
        <f>IF(ISERROR(_xlfn.XMATCH(B383,newlist!B:B,0)),"not found","found")</f>
        <v>found</v>
      </c>
    </row>
    <row r="384" spans="1:3" x14ac:dyDescent="0.5">
      <c r="A384" t="s">
        <v>1051</v>
      </c>
      <c r="B384" t="s">
        <v>2787</v>
      </c>
      <c r="C384" s="4" t="str">
        <f>IF(ISERROR(_xlfn.XMATCH(B384,newlist!B:B,0)),"not found","found")</f>
        <v>not found</v>
      </c>
    </row>
    <row r="385" spans="1:3" hidden="1" x14ac:dyDescent="0.5">
      <c r="A385" t="s">
        <v>1051</v>
      </c>
      <c r="B385" t="s">
        <v>1703</v>
      </c>
      <c r="C385" s="4" t="str">
        <f>IF(ISERROR(_xlfn.XMATCH(B385,newlist!B:B,0)),"not found","found")</f>
        <v>found</v>
      </c>
    </row>
    <row r="386" spans="1:3" hidden="1" x14ac:dyDescent="0.5">
      <c r="A386" t="s">
        <v>1051</v>
      </c>
      <c r="B386" t="s">
        <v>1745</v>
      </c>
      <c r="C386" s="4" t="str">
        <f>IF(ISERROR(_xlfn.XMATCH(B386,newlist!B:B,0)),"not found","found")</f>
        <v>found</v>
      </c>
    </row>
    <row r="387" spans="1:3" hidden="1" x14ac:dyDescent="0.5">
      <c r="A387" t="s">
        <v>1051</v>
      </c>
      <c r="B387" t="s">
        <v>1549</v>
      </c>
      <c r="C387" s="4" t="str">
        <f>IF(ISERROR(_xlfn.XMATCH(B387,newlist!B:B,0)),"not found","found")</f>
        <v>found</v>
      </c>
    </row>
    <row r="388" spans="1:3" hidden="1" x14ac:dyDescent="0.5">
      <c r="A388" t="s">
        <v>1051</v>
      </c>
      <c r="B388" t="s">
        <v>1485</v>
      </c>
      <c r="C388" s="4" t="str">
        <f>IF(ISERROR(_xlfn.XMATCH(B388,newlist!B:B,0)),"not found","found")</f>
        <v>found</v>
      </c>
    </row>
    <row r="389" spans="1:3" hidden="1" x14ac:dyDescent="0.5">
      <c r="A389" t="s">
        <v>1051</v>
      </c>
      <c r="B389" t="s">
        <v>2171</v>
      </c>
      <c r="C389" s="4" t="str">
        <f>IF(ISERROR(_xlfn.XMATCH(B389,newlist!B:B,0)),"not found","found")</f>
        <v>found</v>
      </c>
    </row>
    <row r="390" spans="1:3" hidden="1" x14ac:dyDescent="0.5">
      <c r="A390" t="s">
        <v>1051</v>
      </c>
      <c r="B390" t="s">
        <v>1507</v>
      </c>
      <c r="C390" s="4" t="str">
        <f>IF(ISERROR(_xlfn.XMATCH(B390,newlist!B:B,0)),"not found","found")</f>
        <v>found</v>
      </c>
    </row>
    <row r="391" spans="1:3" hidden="1" x14ac:dyDescent="0.5">
      <c r="A391" t="s">
        <v>1051</v>
      </c>
      <c r="B391" t="s">
        <v>1503</v>
      </c>
      <c r="C391" s="4" t="str">
        <f>IF(ISERROR(_xlfn.XMATCH(B391,newlist!B:B,0)),"not found","found")</f>
        <v>found</v>
      </c>
    </row>
    <row r="392" spans="1:3" hidden="1" x14ac:dyDescent="0.5">
      <c r="A392" t="s">
        <v>1051</v>
      </c>
      <c r="B392" t="s">
        <v>1285</v>
      </c>
      <c r="C392" s="4" t="str">
        <f>IF(ISERROR(_xlfn.XMATCH(B392,newlist!B:B,0)),"not found","found")</f>
        <v>found</v>
      </c>
    </row>
    <row r="393" spans="1:3" hidden="1" x14ac:dyDescent="0.5">
      <c r="A393" t="s">
        <v>1051</v>
      </c>
      <c r="B393" t="s">
        <v>1331</v>
      </c>
      <c r="C393" s="4" t="str">
        <f>IF(ISERROR(_xlfn.XMATCH(B393,newlist!B:B,0)),"not found","found")</f>
        <v>found</v>
      </c>
    </row>
    <row r="394" spans="1:3" hidden="1" x14ac:dyDescent="0.5">
      <c r="A394" t="s">
        <v>1051</v>
      </c>
      <c r="B394" t="s">
        <v>2151</v>
      </c>
      <c r="C394" s="4" t="str">
        <f>IF(ISERROR(_xlfn.XMATCH(B394,newlist!B:B,0)),"not found","found")</f>
        <v>found</v>
      </c>
    </row>
    <row r="395" spans="1:3" hidden="1" x14ac:dyDescent="0.5">
      <c r="A395" t="s">
        <v>1051</v>
      </c>
      <c r="B395" t="s">
        <v>1733</v>
      </c>
      <c r="C395" s="4" t="str">
        <f>IF(ISERROR(_xlfn.XMATCH(B395,newlist!B:B,0)),"not found","found")</f>
        <v>found</v>
      </c>
    </row>
    <row r="396" spans="1:3" hidden="1" x14ac:dyDescent="0.5">
      <c r="A396" t="s">
        <v>1051</v>
      </c>
      <c r="B396" t="s">
        <v>2281</v>
      </c>
      <c r="C396" s="4" t="str">
        <f>IF(ISERROR(_xlfn.XMATCH(B396,newlist!B:B,0)),"not found","found")</f>
        <v>found</v>
      </c>
    </row>
    <row r="397" spans="1:3" hidden="1" x14ac:dyDescent="0.5">
      <c r="A397" t="s">
        <v>1051</v>
      </c>
      <c r="B397" t="s">
        <v>1491</v>
      </c>
      <c r="C397" s="4" t="str">
        <f>IF(ISERROR(_xlfn.XMATCH(B397,newlist!B:B,0)),"not found","found")</f>
        <v>found</v>
      </c>
    </row>
    <row r="398" spans="1:3" hidden="1" x14ac:dyDescent="0.5">
      <c r="A398" t="s">
        <v>1051</v>
      </c>
      <c r="B398" t="s">
        <v>1673</v>
      </c>
      <c r="C398" s="4" t="str">
        <f>IF(ISERROR(_xlfn.XMATCH(B398,newlist!B:B,0)),"not found","found")</f>
        <v>found</v>
      </c>
    </row>
    <row r="399" spans="1:3" hidden="1" x14ac:dyDescent="0.5">
      <c r="A399" t="s">
        <v>1051</v>
      </c>
      <c r="B399" t="s">
        <v>2323</v>
      </c>
      <c r="C399" s="4" t="str">
        <f>IF(ISERROR(_xlfn.XMATCH(B399,newlist!B:B,0)),"not found","found")</f>
        <v>found</v>
      </c>
    </row>
    <row r="400" spans="1:3" hidden="1" x14ac:dyDescent="0.5">
      <c r="A400" t="s">
        <v>1051</v>
      </c>
      <c r="B400" t="s">
        <v>1855</v>
      </c>
      <c r="C400" s="4" t="str">
        <f>IF(ISERROR(_xlfn.XMATCH(B400,newlist!B:B,0)),"not found","found")</f>
        <v>found</v>
      </c>
    </row>
    <row r="401" spans="1:3" hidden="1" x14ac:dyDescent="0.5">
      <c r="A401" t="s">
        <v>1051</v>
      </c>
      <c r="B401" t="s">
        <v>2313</v>
      </c>
      <c r="C401" s="4" t="str">
        <f>IF(ISERROR(_xlfn.XMATCH(B401,newlist!B:B,0)),"not found","found")</f>
        <v>found</v>
      </c>
    </row>
    <row r="402" spans="1:3" hidden="1" x14ac:dyDescent="0.5">
      <c r="A402" t="s">
        <v>1051</v>
      </c>
      <c r="B402" t="s">
        <v>1885</v>
      </c>
      <c r="C402" s="4" t="str">
        <f>IF(ISERROR(_xlfn.XMATCH(B402,newlist!B:B,0)),"not found","found")</f>
        <v>found</v>
      </c>
    </row>
    <row r="403" spans="1:3" hidden="1" x14ac:dyDescent="0.5">
      <c r="A403" t="s">
        <v>1051</v>
      </c>
      <c r="B403" t="s">
        <v>1569</v>
      </c>
      <c r="C403" s="4" t="str">
        <f>IF(ISERROR(_xlfn.XMATCH(B403,newlist!B:B,0)),"not found","found")</f>
        <v>found</v>
      </c>
    </row>
    <row r="404" spans="1:3" hidden="1" x14ac:dyDescent="0.5">
      <c r="A404" t="s">
        <v>1051</v>
      </c>
      <c r="B404" t="s">
        <v>1851</v>
      </c>
      <c r="C404" s="4" t="str">
        <f>IF(ISERROR(_xlfn.XMATCH(B404,newlist!B:B,0)),"not found","found")</f>
        <v>found</v>
      </c>
    </row>
    <row r="405" spans="1:3" hidden="1" x14ac:dyDescent="0.5">
      <c r="A405" t="s">
        <v>1051</v>
      </c>
      <c r="B405" t="s">
        <v>1711</v>
      </c>
      <c r="C405" s="4" t="str">
        <f>IF(ISERROR(_xlfn.XMATCH(B405,newlist!B:B,0)),"not found","found")</f>
        <v>found</v>
      </c>
    </row>
    <row r="406" spans="1:3" hidden="1" x14ac:dyDescent="0.5">
      <c r="A406" t="s">
        <v>1051</v>
      </c>
      <c r="B406" t="s">
        <v>2227</v>
      </c>
      <c r="C406" s="4" t="str">
        <f>IF(ISERROR(_xlfn.XMATCH(B406,newlist!B:B,0)),"not found","found")</f>
        <v>found</v>
      </c>
    </row>
    <row r="407" spans="1:3" hidden="1" x14ac:dyDescent="0.5">
      <c r="A407" t="s">
        <v>1051</v>
      </c>
      <c r="B407" t="s">
        <v>1433</v>
      </c>
      <c r="C407" s="4" t="str">
        <f>IF(ISERROR(_xlfn.XMATCH(B407,newlist!B:B,0)),"not found","found")</f>
        <v>found</v>
      </c>
    </row>
    <row r="408" spans="1:3" hidden="1" x14ac:dyDescent="0.5">
      <c r="A408" t="s">
        <v>1051</v>
      </c>
      <c r="B408" t="s">
        <v>1473</v>
      </c>
      <c r="C408" s="4" t="str">
        <f>IF(ISERROR(_xlfn.XMATCH(B408,newlist!B:B,0)),"not found","found")</f>
        <v>found</v>
      </c>
    </row>
    <row r="409" spans="1:3" hidden="1" x14ac:dyDescent="0.5">
      <c r="A409" t="s">
        <v>1051</v>
      </c>
      <c r="B409" t="s">
        <v>2723</v>
      </c>
      <c r="C409" s="4" t="str">
        <f>IF(ISERROR(_xlfn.XMATCH(B409,newlist!B:B,0)),"not found","found")</f>
        <v>found</v>
      </c>
    </row>
    <row r="410" spans="1:3" hidden="1" x14ac:dyDescent="0.5">
      <c r="A410" t="s">
        <v>1051</v>
      </c>
      <c r="B410" t="s">
        <v>2059</v>
      </c>
      <c r="C410" s="4" t="str">
        <f>IF(ISERROR(_xlfn.XMATCH(B410,newlist!B:B,0)),"not found","found")</f>
        <v>found</v>
      </c>
    </row>
    <row r="411" spans="1:3" hidden="1" x14ac:dyDescent="0.5">
      <c r="A411" t="s">
        <v>1051</v>
      </c>
      <c r="B411" t="s">
        <v>1333</v>
      </c>
      <c r="C411" s="4" t="str">
        <f>IF(ISERROR(_xlfn.XMATCH(B411,newlist!B:B,0)),"not found","found")</f>
        <v>found</v>
      </c>
    </row>
    <row r="412" spans="1:3" hidden="1" x14ac:dyDescent="0.5">
      <c r="A412" t="s">
        <v>1051</v>
      </c>
      <c r="B412" t="s">
        <v>2065</v>
      </c>
      <c r="C412" s="4" t="str">
        <f>IF(ISERROR(_xlfn.XMATCH(B412,newlist!B:B,0)),"not found","found")</f>
        <v>found</v>
      </c>
    </row>
    <row r="413" spans="1:3" hidden="1" x14ac:dyDescent="0.5">
      <c r="A413" t="s">
        <v>1051</v>
      </c>
      <c r="B413" t="s">
        <v>2039</v>
      </c>
      <c r="C413" s="4" t="str">
        <f>IF(ISERROR(_xlfn.XMATCH(B413,newlist!B:B,0)),"not found","found")</f>
        <v>found</v>
      </c>
    </row>
    <row r="414" spans="1:3" hidden="1" x14ac:dyDescent="0.5">
      <c r="A414" t="s">
        <v>1051</v>
      </c>
      <c r="B414" t="s">
        <v>1099</v>
      </c>
      <c r="C414" s="4" t="str">
        <f>IF(ISERROR(_xlfn.XMATCH(B414,newlist!B:B,0)),"not found","found")</f>
        <v>found</v>
      </c>
    </row>
    <row r="415" spans="1:3" hidden="1" x14ac:dyDescent="0.5">
      <c r="A415" t="s">
        <v>1051</v>
      </c>
      <c r="B415" t="s">
        <v>1259</v>
      </c>
      <c r="C415" s="4" t="str">
        <f>IF(ISERROR(_xlfn.XMATCH(B415,newlist!B:B,0)),"not found","found")</f>
        <v>found</v>
      </c>
    </row>
    <row r="416" spans="1:3" hidden="1" x14ac:dyDescent="0.5">
      <c r="A416" t="s">
        <v>1051</v>
      </c>
      <c r="B416" t="s">
        <v>1131</v>
      </c>
      <c r="C416" s="4" t="str">
        <f>IF(ISERROR(_xlfn.XMATCH(B416,newlist!B:B,0)),"not found","found")</f>
        <v>found</v>
      </c>
    </row>
    <row r="417" spans="1:3" hidden="1" x14ac:dyDescent="0.5">
      <c r="A417" t="s">
        <v>1051</v>
      </c>
      <c r="B417" t="s">
        <v>1275</v>
      </c>
      <c r="C417" s="4" t="str">
        <f>IF(ISERROR(_xlfn.XMATCH(B417,newlist!B:B,0)),"not found","found")</f>
        <v>found</v>
      </c>
    </row>
    <row r="418" spans="1:3" hidden="1" x14ac:dyDescent="0.5">
      <c r="A418" t="s">
        <v>1051</v>
      </c>
      <c r="B418" t="s">
        <v>1827</v>
      </c>
      <c r="C418" s="4" t="str">
        <f>IF(ISERROR(_xlfn.XMATCH(B418,newlist!B:B,0)),"not found","found")</f>
        <v>found</v>
      </c>
    </row>
    <row r="419" spans="1:3" hidden="1" x14ac:dyDescent="0.5">
      <c r="A419" t="s">
        <v>1051</v>
      </c>
      <c r="B419" t="s">
        <v>2045</v>
      </c>
      <c r="C419" s="4" t="str">
        <f>IF(ISERROR(_xlfn.XMATCH(B419,newlist!B:B,0)),"not found","found")</f>
        <v>found</v>
      </c>
    </row>
    <row r="420" spans="1:3" hidden="1" x14ac:dyDescent="0.5">
      <c r="A420" t="s">
        <v>1051</v>
      </c>
      <c r="B420" t="s">
        <v>1299</v>
      </c>
      <c r="C420" s="4" t="str">
        <f>IF(ISERROR(_xlfn.XMATCH(B420,newlist!B:B,0)),"not found","found")</f>
        <v>found</v>
      </c>
    </row>
    <row r="421" spans="1:3" hidden="1" x14ac:dyDescent="0.5">
      <c r="A421" t="s">
        <v>1051</v>
      </c>
      <c r="B421" t="s">
        <v>1149</v>
      </c>
      <c r="C421" s="4" t="str">
        <f>IF(ISERROR(_xlfn.XMATCH(B421,newlist!B:B,0)),"not found","found")</f>
        <v>found</v>
      </c>
    </row>
    <row r="422" spans="1:3" hidden="1" x14ac:dyDescent="0.5">
      <c r="A422" t="s">
        <v>1051</v>
      </c>
      <c r="B422" t="s">
        <v>2213</v>
      </c>
      <c r="C422" s="4" t="str">
        <f>IF(ISERROR(_xlfn.XMATCH(B422,newlist!B:B,0)),"not found","found")</f>
        <v>found</v>
      </c>
    </row>
    <row r="423" spans="1:3" hidden="1" x14ac:dyDescent="0.5">
      <c r="A423" t="s">
        <v>1051</v>
      </c>
      <c r="B423" t="s">
        <v>2163</v>
      </c>
      <c r="C423" s="4" t="str">
        <f>IF(ISERROR(_xlfn.XMATCH(B423,newlist!B:B,0)),"not found","found")</f>
        <v>found</v>
      </c>
    </row>
    <row r="424" spans="1:3" hidden="1" x14ac:dyDescent="0.5">
      <c r="A424" t="s">
        <v>1051</v>
      </c>
      <c r="B424" t="s">
        <v>1075</v>
      </c>
      <c r="C424" s="4" t="str">
        <f>IF(ISERROR(_xlfn.XMATCH(B424,newlist!B:B,0)),"not found","found")</f>
        <v>found</v>
      </c>
    </row>
    <row r="425" spans="1:3" hidden="1" x14ac:dyDescent="0.5">
      <c r="A425" t="s">
        <v>1051</v>
      </c>
      <c r="B425" t="s">
        <v>1067</v>
      </c>
      <c r="C425" s="4" t="str">
        <f>IF(ISERROR(_xlfn.XMATCH(B425,newlist!B:B,0)),"not found","found")</f>
        <v>found</v>
      </c>
    </row>
    <row r="426" spans="1:3" hidden="1" x14ac:dyDescent="0.5">
      <c r="A426" t="s">
        <v>1051</v>
      </c>
      <c r="B426" t="s">
        <v>1517</v>
      </c>
      <c r="C426" s="4" t="str">
        <f>IF(ISERROR(_xlfn.XMATCH(B426,newlist!B:B,0)),"not found","found")</f>
        <v>found</v>
      </c>
    </row>
    <row r="427" spans="1:3" hidden="1" x14ac:dyDescent="0.5">
      <c r="A427" t="s">
        <v>1051</v>
      </c>
      <c r="B427" t="s">
        <v>1869</v>
      </c>
      <c r="C427" s="4" t="str">
        <f>IF(ISERROR(_xlfn.XMATCH(B427,newlist!B:B,0)),"not found","found")</f>
        <v>found</v>
      </c>
    </row>
    <row r="428" spans="1:3" hidden="1" x14ac:dyDescent="0.5">
      <c r="A428" t="s">
        <v>1051</v>
      </c>
      <c r="B428" t="s">
        <v>2115</v>
      </c>
      <c r="C428" s="4" t="str">
        <f>IF(ISERROR(_xlfn.XMATCH(B428,newlist!B:B,0)),"not found","found")</f>
        <v>found</v>
      </c>
    </row>
    <row r="429" spans="1:3" hidden="1" x14ac:dyDescent="0.5">
      <c r="A429" t="s">
        <v>1051</v>
      </c>
      <c r="B429" t="s">
        <v>1523</v>
      </c>
      <c r="C429" s="4" t="str">
        <f>IF(ISERROR(_xlfn.XMATCH(B429,newlist!B:B,0)),"not found","found")</f>
        <v>found</v>
      </c>
    </row>
    <row r="430" spans="1:3" hidden="1" x14ac:dyDescent="0.5">
      <c r="A430" t="s">
        <v>1051</v>
      </c>
      <c r="B430" t="s">
        <v>1093</v>
      </c>
      <c r="C430" s="4" t="str">
        <f>IF(ISERROR(_xlfn.XMATCH(B430,newlist!B:B,0)),"not found","found")</f>
        <v>found</v>
      </c>
    </row>
    <row r="431" spans="1:3" hidden="1" x14ac:dyDescent="0.5">
      <c r="A431" t="s">
        <v>1051</v>
      </c>
      <c r="B431" t="s">
        <v>1883</v>
      </c>
      <c r="C431" s="4" t="str">
        <f>IF(ISERROR(_xlfn.XMATCH(B431,newlist!B:B,0)),"not found","found")</f>
        <v>found</v>
      </c>
    </row>
    <row r="432" spans="1:3" hidden="1" x14ac:dyDescent="0.5">
      <c r="A432" t="s">
        <v>1051</v>
      </c>
      <c r="B432" t="s">
        <v>2175</v>
      </c>
      <c r="C432" s="4" t="str">
        <f>IF(ISERROR(_xlfn.XMATCH(B432,newlist!B:B,0)),"not found","found")</f>
        <v>found</v>
      </c>
    </row>
    <row r="433" spans="1:3" hidden="1" x14ac:dyDescent="0.5">
      <c r="A433" t="s">
        <v>1051</v>
      </c>
      <c r="B433" t="s">
        <v>2289</v>
      </c>
      <c r="C433" s="4" t="str">
        <f>IF(ISERROR(_xlfn.XMATCH(B433,newlist!B:B,0)),"not found","found")</f>
        <v>found</v>
      </c>
    </row>
    <row r="434" spans="1:3" hidden="1" x14ac:dyDescent="0.5">
      <c r="A434" t="s">
        <v>1051</v>
      </c>
      <c r="B434" t="s">
        <v>1917</v>
      </c>
      <c r="C434" s="4" t="str">
        <f>IF(ISERROR(_xlfn.XMATCH(B434,newlist!B:B,0)),"not found","found")</f>
        <v>found</v>
      </c>
    </row>
    <row r="435" spans="1:3" hidden="1" x14ac:dyDescent="0.5">
      <c r="A435" t="s">
        <v>1051</v>
      </c>
      <c r="B435" t="s">
        <v>1289</v>
      </c>
      <c r="C435" s="4" t="str">
        <f>IF(ISERROR(_xlfn.XMATCH(B435,newlist!B:B,0)),"not found","found")</f>
        <v>found</v>
      </c>
    </row>
    <row r="436" spans="1:3" hidden="1" x14ac:dyDescent="0.5">
      <c r="A436" t="s">
        <v>1051</v>
      </c>
      <c r="B436" t="s">
        <v>1809</v>
      </c>
      <c r="C436" s="4" t="str">
        <f>IF(ISERROR(_xlfn.XMATCH(B436,newlist!B:B,0)),"not found","found")</f>
        <v>found</v>
      </c>
    </row>
    <row r="437" spans="1:3" hidden="1" x14ac:dyDescent="0.5">
      <c r="A437" t="s">
        <v>1051</v>
      </c>
      <c r="B437" t="s">
        <v>2459</v>
      </c>
      <c r="C437" s="4" t="str">
        <f>IF(ISERROR(_xlfn.XMATCH(B437,newlist!B:B,0)),"not found","found")</f>
        <v>found</v>
      </c>
    </row>
    <row r="438" spans="1:3" hidden="1" x14ac:dyDescent="0.5">
      <c r="A438" t="s">
        <v>1051</v>
      </c>
      <c r="B438" t="s">
        <v>1701</v>
      </c>
      <c r="C438" s="4" t="str">
        <f>IF(ISERROR(_xlfn.XMATCH(B438,newlist!B:B,0)),"not found","found")</f>
        <v>found</v>
      </c>
    </row>
    <row r="439" spans="1:3" hidden="1" x14ac:dyDescent="0.5">
      <c r="A439" t="s">
        <v>1051</v>
      </c>
      <c r="B439" t="s">
        <v>2777</v>
      </c>
      <c r="C439" s="4" t="str">
        <f>IF(ISERROR(_xlfn.XMATCH(B439,newlist!B:B,0)),"not found","found")</f>
        <v>found</v>
      </c>
    </row>
    <row r="440" spans="1:3" hidden="1" x14ac:dyDescent="0.5">
      <c r="A440" t="s">
        <v>1051</v>
      </c>
      <c r="B440" t="s">
        <v>1231</v>
      </c>
      <c r="C440" s="4" t="str">
        <f>IF(ISERROR(_xlfn.XMATCH(B440,newlist!B:B,0)),"not found","found")</f>
        <v>found</v>
      </c>
    </row>
    <row r="441" spans="1:3" hidden="1" x14ac:dyDescent="0.5">
      <c r="A441" t="s">
        <v>1051</v>
      </c>
      <c r="B441" t="s">
        <v>1687</v>
      </c>
      <c r="C441" s="4" t="str">
        <f>IF(ISERROR(_xlfn.XMATCH(B441,newlist!B:B,0)),"not found","found")</f>
        <v>found</v>
      </c>
    </row>
    <row r="442" spans="1:3" hidden="1" x14ac:dyDescent="0.5">
      <c r="A442" t="s">
        <v>1051</v>
      </c>
      <c r="B442" t="s">
        <v>2741</v>
      </c>
      <c r="C442" s="4" t="str">
        <f>IF(ISERROR(_xlfn.XMATCH(B442,newlist!B:B,0)),"not found","found")</f>
        <v>found</v>
      </c>
    </row>
    <row r="443" spans="1:3" hidden="1" x14ac:dyDescent="0.5">
      <c r="A443" t="s">
        <v>1051</v>
      </c>
      <c r="B443" t="s">
        <v>2169</v>
      </c>
      <c r="C443" s="4" t="str">
        <f>IF(ISERROR(_xlfn.XMATCH(B443,newlist!B:B,0)),"not found","found")</f>
        <v>found</v>
      </c>
    </row>
    <row r="444" spans="1:3" hidden="1" x14ac:dyDescent="0.5">
      <c r="A444" t="s">
        <v>1051</v>
      </c>
      <c r="B444" t="s">
        <v>1307</v>
      </c>
      <c r="C444" s="4" t="str">
        <f>IF(ISERROR(_xlfn.XMATCH(B444,newlist!B:B,0)),"not found","found")</f>
        <v>found</v>
      </c>
    </row>
    <row r="445" spans="1:3" hidden="1" x14ac:dyDescent="0.5">
      <c r="A445" t="s">
        <v>1051</v>
      </c>
      <c r="B445" t="s">
        <v>2679</v>
      </c>
      <c r="C445" s="4" t="str">
        <f>IF(ISERROR(_xlfn.XMATCH(B445,newlist!B:B,0)),"not found","found")</f>
        <v>found</v>
      </c>
    </row>
    <row r="446" spans="1:3" hidden="1" x14ac:dyDescent="0.5">
      <c r="A446" t="s">
        <v>1051</v>
      </c>
      <c r="B446" t="s">
        <v>1263</v>
      </c>
      <c r="C446" s="4" t="str">
        <f>IF(ISERROR(_xlfn.XMATCH(B446,newlist!B:B,0)),"not found","found")</f>
        <v>found</v>
      </c>
    </row>
    <row r="447" spans="1:3" hidden="1" x14ac:dyDescent="0.5">
      <c r="A447" t="s">
        <v>1051</v>
      </c>
      <c r="B447" t="s">
        <v>1195</v>
      </c>
      <c r="C447" s="4" t="str">
        <f>IF(ISERROR(_xlfn.XMATCH(B447,newlist!B:B,0)),"not found","found")</f>
        <v>found</v>
      </c>
    </row>
    <row r="448" spans="1:3" hidden="1" x14ac:dyDescent="0.5">
      <c r="A448" t="s">
        <v>1051</v>
      </c>
      <c r="B448" t="s">
        <v>1531</v>
      </c>
      <c r="C448" s="4" t="str">
        <f>IF(ISERROR(_xlfn.XMATCH(B448,newlist!B:B,0)),"not found","found")</f>
        <v>found</v>
      </c>
    </row>
    <row r="449" spans="1:3" hidden="1" x14ac:dyDescent="0.5">
      <c r="A449" t="s">
        <v>1051</v>
      </c>
      <c r="B449" t="s">
        <v>1717</v>
      </c>
      <c r="C449" s="4" t="str">
        <f>IF(ISERROR(_xlfn.XMATCH(B449,newlist!B:B,0)),"not found","found")</f>
        <v>found</v>
      </c>
    </row>
    <row r="450" spans="1:3" hidden="1" x14ac:dyDescent="0.5">
      <c r="A450" t="s">
        <v>1051</v>
      </c>
      <c r="B450" t="s">
        <v>2335</v>
      </c>
      <c r="C450" s="4" t="str">
        <f>IF(ISERROR(_xlfn.XMATCH(B450,newlist!B:B,0)),"not found","found")</f>
        <v>found</v>
      </c>
    </row>
    <row r="451" spans="1:3" hidden="1" x14ac:dyDescent="0.5">
      <c r="A451" t="s">
        <v>1051</v>
      </c>
      <c r="B451" t="s">
        <v>2003</v>
      </c>
      <c r="C451" s="4" t="str">
        <f>IF(ISERROR(_xlfn.XMATCH(B451,newlist!B:B,0)),"not found","found")</f>
        <v>found</v>
      </c>
    </row>
    <row r="452" spans="1:3" hidden="1" x14ac:dyDescent="0.5">
      <c r="A452" t="s">
        <v>1051</v>
      </c>
      <c r="B452" t="s">
        <v>1707</v>
      </c>
      <c r="C452" s="4" t="str">
        <f>IF(ISERROR(_xlfn.XMATCH(B452,newlist!B:B,0)),"not found","found")</f>
        <v>found</v>
      </c>
    </row>
    <row r="453" spans="1:3" hidden="1" x14ac:dyDescent="0.5">
      <c r="A453" t="s">
        <v>1051</v>
      </c>
      <c r="B453" t="s">
        <v>1843</v>
      </c>
      <c r="C453" s="4" t="str">
        <f>IF(ISERROR(_xlfn.XMATCH(B453,newlist!B:B,0)),"not found","found")</f>
        <v>found</v>
      </c>
    </row>
    <row r="454" spans="1:3" hidden="1" x14ac:dyDescent="0.5">
      <c r="A454" t="s">
        <v>1051</v>
      </c>
      <c r="B454" t="s">
        <v>1381</v>
      </c>
      <c r="C454" s="4" t="str">
        <f>IF(ISERROR(_xlfn.XMATCH(B454,newlist!B:B,0)),"not found","found")</f>
        <v>found</v>
      </c>
    </row>
    <row r="455" spans="1:3" hidden="1" x14ac:dyDescent="0.5">
      <c r="A455" t="s">
        <v>1051</v>
      </c>
      <c r="B455" t="s">
        <v>1777</v>
      </c>
      <c r="C455" s="4" t="str">
        <f>IF(ISERROR(_xlfn.XMATCH(B455,newlist!B:B,0)),"not found","found")</f>
        <v>found</v>
      </c>
    </row>
    <row r="456" spans="1:3" hidden="1" x14ac:dyDescent="0.5">
      <c r="A456" t="s">
        <v>1051</v>
      </c>
      <c r="B456" t="s">
        <v>1403</v>
      </c>
      <c r="C456" s="4" t="str">
        <f>IF(ISERROR(_xlfn.XMATCH(B456,newlist!B:B,0)),"not found","found")</f>
        <v>found</v>
      </c>
    </row>
    <row r="457" spans="1:3" hidden="1" x14ac:dyDescent="0.5">
      <c r="A457" t="s">
        <v>1051</v>
      </c>
      <c r="B457" t="s">
        <v>1593</v>
      </c>
      <c r="C457" s="4" t="str">
        <f>IF(ISERROR(_xlfn.XMATCH(B457,newlist!B:B,0)),"not found","found")</f>
        <v>found</v>
      </c>
    </row>
    <row r="458" spans="1:3" hidden="1" x14ac:dyDescent="0.5">
      <c r="A458" t="s">
        <v>1051</v>
      </c>
      <c r="B458" t="s">
        <v>1771</v>
      </c>
      <c r="C458" s="4" t="str">
        <f>IF(ISERROR(_xlfn.XMATCH(B458,newlist!B:B,0)),"not found","found")</f>
        <v>found</v>
      </c>
    </row>
    <row r="459" spans="1:3" hidden="1" x14ac:dyDescent="0.5">
      <c r="A459" t="s">
        <v>1051</v>
      </c>
      <c r="B459" t="s">
        <v>2069</v>
      </c>
      <c r="C459" s="4" t="str">
        <f>IF(ISERROR(_xlfn.XMATCH(B459,newlist!B:B,0)),"not found","found")</f>
        <v>found</v>
      </c>
    </row>
    <row r="460" spans="1:3" hidden="1" x14ac:dyDescent="0.5">
      <c r="A460" t="s">
        <v>1051</v>
      </c>
      <c r="B460" t="s">
        <v>2047</v>
      </c>
      <c r="C460" s="4" t="str">
        <f>IF(ISERROR(_xlfn.XMATCH(B460,newlist!B:B,0)),"not found","found")</f>
        <v>found</v>
      </c>
    </row>
    <row r="461" spans="1:3" hidden="1" x14ac:dyDescent="0.5">
      <c r="A461" t="s">
        <v>1051</v>
      </c>
      <c r="B461" t="s">
        <v>1873</v>
      </c>
      <c r="C461" s="4" t="str">
        <f>IF(ISERROR(_xlfn.XMATCH(B461,newlist!B:B,0)),"not found","found")</f>
        <v>found</v>
      </c>
    </row>
    <row r="462" spans="1:3" hidden="1" x14ac:dyDescent="0.5">
      <c r="A462" t="s">
        <v>1051</v>
      </c>
      <c r="B462" t="s">
        <v>1209</v>
      </c>
      <c r="C462" s="4" t="str">
        <f>IF(ISERROR(_xlfn.XMATCH(B462,newlist!B:B,0)),"not found","found")</f>
        <v>found</v>
      </c>
    </row>
    <row r="463" spans="1:3" hidden="1" x14ac:dyDescent="0.5">
      <c r="A463" t="s">
        <v>1051</v>
      </c>
      <c r="B463" t="s">
        <v>1325</v>
      </c>
      <c r="C463" s="4" t="str">
        <f>IF(ISERROR(_xlfn.XMATCH(B463,newlist!B:B,0)),"not found","found")</f>
        <v>found</v>
      </c>
    </row>
    <row r="464" spans="1:3" hidden="1" x14ac:dyDescent="0.5">
      <c r="A464" t="s">
        <v>1051</v>
      </c>
      <c r="B464" t="s">
        <v>1135</v>
      </c>
      <c r="C464" s="4" t="str">
        <f>IF(ISERROR(_xlfn.XMATCH(B464,newlist!B:B,0)),"not found","found")</f>
        <v>found</v>
      </c>
    </row>
    <row r="465" spans="1:3" hidden="1" x14ac:dyDescent="0.5">
      <c r="A465" t="s">
        <v>1051</v>
      </c>
      <c r="B465" t="s">
        <v>1447</v>
      </c>
      <c r="C465" s="4" t="str">
        <f>IF(ISERROR(_xlfn.XMATCH(B465,newlist!B:B,0)),"not found","found")</f>
        <v>found</v>
      </c>
    </row>
    <row r="466" spans="1:3" hidden="1" x14ac:dyDescent="0.5">
      <c r="A466" t="s">
        <v>1051</v>
      </c>
      <c r="B466" t="s">
        <v>1763</v>
      </c>
      <c r="C466" s="4" t="str">
        <f>IF(ISERROR(_xlfn.XMATCH(B466,newlist!B:B,0)),"not found","found")</f>
        <v>found</v>
      </c>
    </row>
    <row r="467" spans="1:3" hidden="1" x14ac:dyDescent="0.5">
      <c r="A467" t="s">
        <v>1051</v>
      </c>
      <c r="B467" t="s">
        <v>2051</v>
      </c>
      <c r="C467" s="4" t="str">
        <f>IF(ISERROR(_xlfn.XMATCH(B467,newlist!B:B,0)),"not found","found")</f>
        <v>found</v>
      </c>
    </row>
    <row r="468" spans="1:3" hidden="1" x14ac:dyDescent="0.5">
      <c r="A468" t="s">
        <v>1051</v>
      </c>
      <c r="B468" t="s">
        <v>2011</v>
      </c>
      <c r="C468" s="4" t="str">
        <f>IF(ISERROR(_xlfn.XMATCH(B468,newlist!B:B,0)),"not found","found")</f>
        <v>found</v>
      </c>
    </row>
    <row r="469" spans="1:3" hidden="1" x14ac:dyDescent="0.5">
      <c r="A469" t="s">
        <v>1051</v>
      </c>
      <c r="B469" t="s">
        <v>1183</v>
      </c>
      <c r="C469" s="4" t="str">
        <f>IF(ISERROR(_xlfn.XMATCH(B469,newlist!B:B,0)),"not found","found")</f>
        <v>found</v>
      </c>
    </row>
    <row r="470" spans="1:3" hidden="1" x14ac:dyDescent="0.5">
      <c r="A470" t="s">
        <v>1051</v>
      </c>
      <c r="B470" t="s">
        <v>1583</v>
      </c>
      <c r="C470" s="4" t="str">
        <f>IF(ISERROR(_xlfn.XMATCH(B470,newlist!B:B,0)),"not found","found")</f>
        <v>found</v>
      </c>
    </row>
    <row r="471" spans="1:3" hidden="1" x14ac:dyDescent="0.5">
      <c r="A471" t="s">
        <v>1051</v>
      </c>
      <c r="B471" t="s">
        <v>2351</v>
      </c>
      <c r="C471" s="4" t="str">
        <f>IF(ISERROR(_xlfn.XMATCH(B471,newlist!B:B,0)),"not found","found")</f>
        <v>found</v>
      </c>
    </row>
    <row r="472" spans="1:3" hidden="1" x14ac:dyDescent="0.5">
      <c r="A472" t="s">
        <v>1051</v>
      </c>
      <c r="B472" t="s">
        <v>1811</v>
      </c>
      <c r="C472" s="4" t="str">
        <f>IF(ISERROR(_xlfn.XMATCH(B472,newlist!B:B,0)),"not found","found")</f>
        <v>found</v>
      </c>
    </row>
    <row r="473" spans="1:3" hidden="1" x14ac:dyDescent="0.5">
      <c r="A473" t="s">
        <v>1051</v>
      </c>
      <c r="B473" t="s">
        <v>1579</v>
      </c>
      <c r="C473" s="4" t="str">
        <f>IF(ISERROR(_xlfn.XMATCH(B473,newlist!B:B,0)),"not found","found")</f>
        <v>found</v>
      </c>
    </row>
    <row r="474" spans="1:3" hidden="1" x14ac:dyDescent="0.5">
      <c r="A474" t="s">
        <v>1051</v>
      </c>
      <c r="B474" t="s">
        <v>1725</v>
      </c>
      <c r="C474" s="4" t="str">
        <f>IF(ISERROR(_xlfn.XMATCH(B474,newlist!B:B,0)),"not found","found")</f>
        <v>found</v>
      </c>
    </row>
    <row r="475" spans="1:3" hidden="1" x14ac:dyDescent="0.5">
      <c r="A475" t="s">
        <v>1051</v>
      </c>
      <c r="B475" t="s">
        <v>1567</v>
      </c>
      <c r="C475" s="4" t="str">
        <f>IF(ISERROR(_xlfn.XMATCH(B475,newlist!B:B,0)),"not found","found")</f>
        <v>found</v>
      </c>
    </row>
    <row r="476" spans="1:3" hidden="1" x14ac:dyDescent="0.5">
      <c r="A476" t="s">
        <v>1051</v>
      </c>
      <c r="B476" t="s">
        <v>2229</v>
      </c>
      <c r="C476" s="4" t="str">
        <f>IF(ISERROR(_xlfn.XMATCH(B476,newlist!B:B,0)),"not found","found")</f>
        <v>found</v>
      </c>
    </row>
    <row r="477" spans="1:3" hidden="1" x14ac:dyDescent="0.5">
      <c r="A477" t="s">
        <v>1051</v>
      </c>
      <c r="B477" t="s">
        <v>2157</v>
      </c>
      <c r="C477" s="4" t="str">
        <f>IF(ISERROR(_xlfn.XMATCH(B477,newlist!B:B,0)),"not found","found")</f>
        <v>found</v>
      </c>
    </row>
    <row r="478" spans="1:3" hidden="1" x14ac:dyDescent="0.5">
      <c r="A478" t="s">
        <v>1051</v>
      </c>
      <c r="B478" t="s">
        <v>2369</v>
      </c>
      <c r="C478" s="4" t="str">
        <f>IF(ISERROR(_xlfn.XMATCH(B478,newlist!B:B,0)),"not found","found")</f>
        <v>found</v>
      </c>
    </row>
    <row r="479" spans="1:3" hidden="1" x14ac:dyDescent="0.5">
      <c r="A479" t="s">
        <v>1051</v>
      </c>
      <c r="B479" t="s">
        <v>1557</v>
      </c>
      <c r="C479" s="4" t="str">
        <f>IF(ISERROR(_xlfn.XMATCH(B479,newlist!B:B,0)),"not found","found")</f>
        <v>found</v>
      </c>
    </row>
    <row r="480" spans="1:3" hidden="1" x14ac:dyDescent="0.5">
      <c r="A480" t="s">
        <v>1051</v>
      </c>
      <c r="B480" t="s">
        <v>1665</v>
      </c>
      <c r="C480" s="4" t="str">
        <f>IF(ISERROR(_xlfn.XMATCH(B480,newlist!B:B,0)),"not found","found")</f>
        <v>found</v>
      </c>
    </row>
    <row r="481" spans="1:3" hidden="1" x14ac:dyDescent="0.5">
      <c r="A481" t="s">
        <v>1051</v>
      </c>
      <c r="B481" t="s">
        <v>2409</v>
      </c>
      <c r="C481" s="4" t="str">
        <f>IF(ISERROR(_xlfn.XMATCH(B481,newlist!B:B,0)),"not found","found")</f>
        <v>found</v>
      </c>
    </row>
    <row r="482" spans="1:3" hidden="1" x14ac:dyDescent="0.5">
      <c r="A482" t="s">
        <v>1051</v>
      </c>
      <c r="B482" t="s">
        <v>2165</v>
      </c>
      <c r="C482" s="4" t="str">
        <f>IF(ISERROR(_xlfn.XMATCH(B482,newlist!B:B,0)),"not found","found")</f>
        <v>found</v>
      </c>
    </row>
    <row r="483" spans="1:3" hidden="1" x14ac:dyDescent="0.5">
      <c r="A483" t="s">
        <v>1051</v>
      </c>
      <c r="B483" t="s">
        <v>1705</v>
      </c>
      <c r="C483" s="4" t="str">
        <f>IF(ISERROR(_xlfn.XMATCH(B483,newlist!B:B,0)),"not found","found")</f>
        <v>found</v>
      </c>
    </row>
    <row r="484" spans="1:3" hidden="1" x14ac:dyDescent="0.5">
      <c r="A484" t="s">
        <v>1051</v>
      </c>
      <c r="B484" t="s">
        <v>1233</v>
      </c>
      <c r="C484" s="4" t="str">
        <f>IF(ISERROR(_xlfn.XMATCH(B484,newlist!B:B,0)),"not found","found")</f>
        <v>found</v>
      </c>
    </row>
    <row r="485" spans="1:3" hidden="1" x14ac:dyDescent="0.5">
      <c r="A485" t="s">
        <v>1051</v>
      </c>
      <c r="B485" t="s">
        <v>1483</v>
      </c>
      <c r="C485" s="4" t="str">
        <f>IF(ISERROR(_xlfn.XMATCH(B485,newlist!B:B,0)),"not found","found")</f>
        <v>found</v>
      </c>
    </row>
    <row r="486" spans="1:3" hidden="1" x14ac:dyDescent="0.5">
      <c r="A486" t="s">
        <v>1051</v>
      </c>
      <c r="B486" t="s">
        <v>1753</v>
      </c>
      <c r="C486" s="4" t="str">
        <f>IF(ISERROR(_xlfn.XMATCH(B486,newlist!B:B,0)),"not found","found")</f>
        <v>found</v>
      </c>
    </row>
    <row r="487" spans="1:3" hidden="1" x14ac:dyDescent="0.5">
      <c r="A487" t="s">
        <v>1051</v>
      </c>
      <c r="B487" t="s">
        <v>1747</v>
      </c>
      <c r="C487" s="4" t="str">
        <f>IF(ISERROR(_xlfn.XMATCH(B487,newlist!B:B,0)),"not found","found")</f>
        <v>found</v>
      </c>
    </row>
    <row r="488" spans="1:3" hidden="1" x14ac:dyDescent="0.5">
      <c r="A488" t="s">
        <v>1051</v>
      </c>
      <c r="B488" t="s">
        <v>1155</v>
      </c>
      <c r="C488" s="4" t="str">
        <f>IF(ISERROR(_xlfn.XMATCH(B488,newlist!B:B,0)),"not found","found")</f>
        <v>found</v>
      </c>
    </row>
    <row r="489" spans="1:3" hidden="1" x14ac:dyDescent="0.5">
      <c r="A489" t="s">
        <v>1051</v>
      </c>
      <c r="B489" t="s">
        <v>1445</v>
      </c>
      <c r="C489" s="4" t="str">
        <f>IF(ISERROR(_xlfn.XMATCH(B489,newlist!B:B,0)),"not found","found")</f>
        <v>found</v>
      </c>
    </row>
    <row r="490" spans="1:3" hidden="1" x14ac:dyDescent="0.5">
      <c r="A490" t="s">
        <v>1051</v>
      </c>
      <c r="B490" t="s">
        <v>1255</v>
      </c>
      <c r="C490" s="4" t="str">
        <f>IF(ISERROR(_xlfn.XMATCH(B490,newlist!B:B,0)),"not found","found")</f>
        <v>found</v>
      </c>
    </row>
    <row r="491" spans="1:3" hidden="1" x14ac:dyDescent="0.5">
      <c r="A491" t="s">
        <v>1051</v>
      </c>
      <c r="B491" t="s">
        <v>1769</v>
      </c>
      <c r="C491" s="4" t="str">
        <f>IF(ISERROR(_xlfn.XMATCH(B491,newlist!B:B,0)),"not found","found")</f>
        <v>found</v>
      </c>
    </row>
    <row r="492" spans="1:3" hidden="1" x14ac:dyDescent="0.5">
      <c r="A492" t="s">
        <v>1051</v>
      </c>
      <c r="B492" t="s">
        <v>1611</v>
      </c>
      <c r="C492" s="4" t="str">
        <f>IF(ISERROR(_xlfn.XMATCH(B492,newlist!B:B,0)),"not found","found")</f>
        <v>found</v>
      </c>
    </row>
    <row r="493" spans="1:3" hidden="1" x14ac:dyDescent="0.5">
      <c r="A493" t="s">
        <v>1051</v>
      </c>
      <c r="B493" t="s">
        <v>1113</v>
      </c>
      <c r="C493" s="4" t="str">
        <f>IF(ISERROR(_xlfn.XMATCH(B493,newlist!B:B,0)),"not found","found")</f>
        <v>found</v>
      </c>
    </row>
    <row r="494" spans="1:3" hidden="1" x14ac:dyDescent="0.5">
      <c r="A494" t="s">
        <v>1051</v>
      </c>
      <c r="B494" t="s">
        <v>1799</v>
      </c>
      <c r="C494" s="4" t="str">
        <f>IF(ISERROR(_xlfn.XMATCH(B494,newlist!B:B,0)),"not found","found")</f>
        <v>found</v>
      </c>
    </row>
    <row r="495" spans="1:3" hidden="1" x14ac:dyDescent="0.5">
      <c r="A495" t="s">
        <v>1051</v>
      </c>
      <c r="B495" t="s">
        <v>1553</v>
      </c>
      <c r="C495" s="4" t="str">
        <f>IF(ISERROR(_xlfn.XMATCH(B495,newlist!B:B,0)),"not found","found")</f>
        <v>found</v>
      </c>
    </row>
    <row r="496" spans="1:3" hidden="1" x14ac:dyDescent="0.5">
      <c r="A496" t="s">
        <v>1051</v>
      </c>
      <c r="B496" t="s">
        <v>1237</v>
      </c>
      <c r="C496" s="4" t="str">
        <f>IF(ISERROR(_xlfn.XMATCH(B496,newlist!B:B,0)),"not found","found")</f>
        <v>found</v>
      </c>
    </row>
    <row r="497" spans="1:3" hidden="1" x14ac:dyDescent="0.5">
      <c r="A497" t="s">
        <v>1051</v>
      </c>
      <c r="B497" t="s">
        <v>1999</v>
      </c>
      <c r="C497" s="4" t="str">
        <f>IF(ISERROR(_xlfn.XMATCH(B497,newlist!B:B,0)),"not found","found")</f>
        <v>found</v>
      </c>
    </row>
    <row r="498" spans="1:3" hidden="1" x14ac:dyDescent="0.5">
      <c r="A498" t="s">
        <v>1051</v>
      </c>
      <c r="B498" t="s">
        <v>1429</v>
      </c>
      <c r="C498" s="4" t="str">
        <f>IF(ISERROR(_xlfn.XMATCH(B498,newlist!B:B,0)),"not found","found")</f>
        <v>found</v>
      </c>
    </row>
    <row r="499" spans="1:3" hidden="1" x14ac:dyDescent="0.5">
      <c r="A499" t="s">
        <v>1051</v>
      </c>
      <c r="B499" t="s">
        <v>1969</v>
      </c>
      <c r="C499" s="4" t="str">
        <f>IF(ISERROR(_xlfn.XMATCH(B499,newlist!B:B,0)),"not found","found")</f>
        <v>found</v>
      </c>
    </row>
    <row r="500" spans="1:3" hidden="1" x14ac:dyDescent="0.5">
      <c r="A500" t="s">
        <v>1051</v>
      </c>
      <c r="B500" t="s">
        <v>1649</v>
      </c>
      <c r="C500" s="4" t="str">
        <f>IF(ISERROR(_xlfn.XMATCH(B500,newlist!B:B,0)),"not found","found")</f>
        <v>found</v>
      </c>
    </row>
    <row r="501" spans="1:3" hidden="1" x14ac:dyDescent="0.5">
      <c r="A501" t="s">
        <v>1051</v>
      </c>
      <c r="B501" t="s">
        <v>2007</v>
      </c>
      <c r="C501" s="4" t="str">
        <f>IF(ISERROR(_xlfn.XMATCH(B501,newlist!B:B,0)),"not found","found")</f>
        <v>found</v>
      </c>
    </row>
    <row r="502" spans="1:3" hidden="1" x14ac:dyDescent="0.5">
      <c r="A502" t="s">
        <v>1051</v>
      </c>
      <c r="B502" t="s">
        <v>2009</v>
      </c>
      <c r="C502" s="4" t="str">
        <f>IF(ISERROR(_xlfn.XMATCH(B502,newlist!B:B,0)),"not found","found")</f>
        <v>found</v>
      </c>
    </row>
    <row r="503" spans="1:3" hidden="1" x14ac:dyDescent="0.5">
      <c r="A503" t="s">
        <v>1051</v>
      </c>
      <c r="B503" t="s">
        <v>1639</v>
      </c>
      <c r="C503" s="4" t="str">
        <f>IF(ISERROR(_xlfn.XMATCH(B503,newlist!B:B,0)),"not found","found")</f>
        <v>found</v>
      </c>
    </row>
    <row r="504" spans="1:3" hidden="1" x14ac:dyDescent="0.5">
      <c r="A504" t="s">
        <v>1051</v>
      </c>
      <c r="B504" t="s">
        <v>1577</v>
      </c>
      <c r="C504" s="4" t="str">
        <f>IF(ISERROR(_xlfn.XMATCH(B504,newlist!B:B,0)),"not found","found")</f>
        <v>found</v>
      </c>
    </row>
    <row r="505" spans="1:3" hidden="1" x14ac:dyDescent="0.5">
      <c r="A505" t="s">
        <v>1051</v>
      </c>
      <c r="B505" t="s">
        <v>1519</v>
      </c>
      <c r="C505" s="4" t="str">
        <f>IF(ISERROR(_xlfn.XMATCH(B505,newlist!B:B,0)),"not found","found")</f>
        <v>found</v>
      </c>
    </row>
    <row r="506" spans="1:3" hidden="1" x14ac:dyDescent="0.5">
      <c r="A506" t="s">
        <v>1051</v>
      </c>
      <c r="B506" t="s">
        <v>1481</v>
      </c>
      <c r="C506" s="4" t="str">
        <f>IF(ISERROR(_xlfn.XMATCH(B506,newlist!B:B,0)),"not found","found")</f>
        <v>found</v>
      </c>
    </row>
    <row r="507" spans="1:3" hidden="1" x14ac:dyDescent="0.5">
      <c r="A507" t="s">
        <v>1051</v>
      </c>
      <c r="B507" t="s">
        <v>1667</v>
      </c>
      <c r="C507" s="4" t="str">
        <f>IF(ISERROR(_xlfn.XMATCH(B507,newlist!B:B,0)),"not found","found")</f>
        <v>found</v>
      </c>
    </row>
    <row r="508" spans="1:3" hidden="1" x14ac:dyDescent="0.5">
      <c r="A508" t="s">
        <v>1051</v>
      </c>
      <c r="B508" t="s">
        <v>2113</v>
      </c>
      <c r="C508" s="4" t="str">
        <f>IF(ISERROR(_xlfn.XMATCH(B508,newlist!B:B,0)),"not found","found")</f>
        <v>found</v>
      </c>
    </row>
    <row r="509" spans="1:3" hidden="1" x14ac:dyDescent="0.5">
      <c r="A509" t="s">
        <v>1051</v>
      </c>
      <c r="B509" t="s">
        <v>1167</v>
      </c>
      <c r="C509" s="4" t="str">
        <f>IF(ISERROR(_xlfn.XMATCH(B509,newlist!B:B,0)),"not found","found")</f>
        <v>found</v>
      </c>
    </row>
    <row r="510" spans="1:3" hidden="1" x14ac:dyDescent="0.5">
      <c r="A510" t="s">
        <v>1051</v>
      </c>
      <c r="B510" t="s">
        <v>1617</v>
      </c>
      <c r="C510" s="4" t="str">
        <f>IF(ISERROR(_xlfn.XMATCH(B510,newlist!B:B,0)),"not found","found")</f>
        <v>found</v>
      </c>
    </row>
    <row r="511" spans="1:3" hidden="1" x14ac:dyDescent="0.5">
      <c r="A511" t="s">
        <v>1051</v>
      </c>
      <c r="B511" t="s">
        <v>1929</v>
      </c>
      <c r="C511" s="4" t="str">
        <f>IF(ISERROR(_xlfn.XMATCH(B511,newlist!B:B,0)),"not found","found")</f>
        <v>found</v>
      </c>
    </row>
    <row r="512" spans="1:3" hidden="1" x14ac:dyDescent="0.5">
      <c r="A512" t="s">
        <v>1051</v>
      </c>
      <c r="B512" t="s">
        <v>1291</v>
      </c>
      <c r="C512" s="4" t="str">
        <f>IF(ISERROR(_xlfn.XMATCH(B512,newlist!B:B,0)),"not found","found")</f>
        <v>found</v>
      </c>
    </row>
    <row r="513" spans="1:3" hidden="1" x14ac:dyDescent="0.5">
      <c r="A513" t="s">
        <v>1051</v>
      </c>
      <c r="B513" t="s">
        <v>1261</v>
      </c>
      <c r="C513" s="4" t="str">
        <f>IF(ISERROR(_xlfn.XMATCH(B513,newlist!B:B,0)),"not found","found")</f>
        <v>found</v>
      </c>
    </row>
    <row r="514" spans="1:3" hidden="1" x14ac:dyDescent="0.5">
      <c r="A514" t="s">
        <v>1051</v>
      </c>
      <c r="B514" t="s">
        <v>1607</v>
      </c>
      <c r="C514" s="4" t="str">
        <f>IF(ISERROR(_xlfn.XMATCH(B514,newlist!B:B,0)),"not found","found")</f>
        <v>found</v>
      </c>
    </row>
    <row r="515" spans="1:3" hidden="1" x14ac:dyDescent="0.5">
      <c r="A515" t="s">
        <v>1051</v>
      </c>
      <c r="B515" t="s">
        <v>1085</v>
      </c>
      <c r="C515" s="4" t="str">
        <f>IF(ISERROR(_xlfn.XMATCH(B515,newlist!B:B,0)),"not found","found")</f>
        <v>found</v>
      </c>
    </row>
    <row r="516" spans="1:3" hidden="1" x14ac:dyDescent="0.5">
      <c r="A516" t="s">
        <v>1051</v>
      </c>
      <c r="B516" t="s">
        <v>1417</v>
      </c>
      <c r="C516" s="4" t="str">
        <f>IF(ISERROR(_xlfn.XMATCH(B516,newlist!B:B,0)),"not found","found")</f>
        <v>found</v>
      </c>
    </row>
    <row r="517" spans="1:3" hidden="1" x14ac:dyDescent="0.5">
      <c r="A517" t="s">
        <v>1051</v>
      </c>
      <c r="B517" t="s">
        <v>1635</v>
      </c>
      <c r="C517" s="4" t="str">
        <f>IF(ISERROR(_xlfn.XMATCH(B517,newlist!B:B,0)),"not found","found")</f>
        <v>found</v>
      </c>
    </row>
    <row r="518" spans="1:3" hidden="1" x14ac:dyDescent="0.5">
      <c r="A518" t="s">
        <v>1051</v>
      </c>
      <c r="B518" t="s">
        <v>1505</v>
      </c>
      <c r="C518" s="4" t="str">
        <f>IF(ISERROR(_xlfn.XMATCH(B518,newlist!B:B,0)),"not found","found")</f>
        <v>found</v>
      </c>
    </row>
    <row r="519" spans="1:3" hidden="1" x14ac:dyDescent="0.5">
      <c r="A519" t="s">
        <v>1051</v>
      </c>
      <c r="B519" t="s">
        <v>1613</v>
      </c>
      <c r="C519" s="4" t="str">
        <f>IF(ISERROR(_xlfn.XMATCH(B519,newlist!B:B,0)),"not found","found")</f>
        <v>found</v>
      </c>
    </row>
    <row r="520" spans="1:3" hidden="1" x14ac:dyDescent="0.5">
      <c r="A520" t="s">
        <v>1051</v>
      </c>
      <c r="B520" t="s">
        <v>1437</v>
      </c>
      <c r="C520" s="4" t="str">
        <f>IF(ISERROR(_xlfn.XMATCH(B520,newlist!B:B,0)),"not found","found")</f>
        <v>found</v>
      </c>
    </row>
    <row r="521" spans="1:3" x14ac:dyDescent="0.5">
      <c r="A521" t="s">
        <v>1051</v>
      </c>
      <c r="B521" t="s">
        <v>2788</v>
      </c>
      <c r="C521" s="4" t="str">
        <f>IF(ISERROR(_xlfn.XMATCH(B521,newlist!B:B,0)),"not found","found")</f>
        <v>not found</v>
      </c>
    </row>
    <row r="522" spans="1:3" hidden="1" x14ac:dyDescent="0.5">
      <c r="A522" t="s">
        <v>1051</v>
      </c>
      <c r="B522" t="s">
        <v>1749</v>
      </c>
      <c r="C522" s="4" t="str">
        <f>IF(ISERROR(_xlfn.XMATCH(B522,newlist!B:B,0)),"not found","found")</f>
        <v>found</v>
      </c>
    </row>
    <row r="523" spans="1:3" hidden="1" x14ac:dyDescent="0.5">
      <c r="A523" t="s">
        <v>1051</v>
      </c>
      <c r="B523" t="s">
        <v>1527</v>
      </c>
      <c r="C523" s="4" t="str">
        <f>IF(ISERROR(_xlfn.XMATCH(B523,newlist!B:B,0)),"not found","found")</f>
        <v>found</v>
      </c>
    </row>
    <row r="524" spans="1:3" hidden="1" x14ac:dyDescent="0.5">
      <c r="A524" t="s">
        <v>1051</v>
      </c>
      <c r="B524" t="s">
        <v>1175</v>
      </c>
      <c r="C524" s="4" t="str">
        <f>IF(ISERROR(_xlfn.XMATCH(B524,newlist!B:B,0)),"not found","found")</f>
        <v>found</v>
      </c>
    </row>
    <row r="525" spans="1:3" hidden="1" x14ac:dyDescent="0.5">
      <c r="A525" t="s">
        <v>1051</v>
      </c>
      <c r="B525" t="s">
        <v>1225</v>
      </c>
      <c r="C525" s="4" t="str">
        <f>IF(ISERROR(_xlfn.XMATCH(B525,newlist!B:B,0)),"not found","found")</f>
        <v>found</v>
      </c>
    </row>
    <row r="526" spans="1:3" hidden="1" x14ac:dyDescent="0.5">
      <c r="A526" t="s">
        <v>1051</v>
      </c>
      <c r="B526" t="s">
        <v>2291</v>
      </c>
      <c r="C526" s="4" t="str">
        <f>IF(ISERROR(_xlfn.XMATCH(B526,newlist!B:B,0)),"not found","found")</f>
        <v>found</v>
      </c>
    </row>
    <row r="527" spans="1:3" hidden="1" x14ac:dyDescent="0.5">
      <c r="A527" t="s">
        <v>1051</v>
      </c>
      <c r="B527" t="s">
        <v>1257</v>
      </c>
      <c r="C527" s="4" t="str">
        <f>IF(ISERROR(_xlfn.XMATCH(B527,newlist!B:B,0)),"not found","found")</f>
        <v>found</v>
      </c>
    </row>
    <row r="528" spans="1:3" hidden="1" x14ac:dyDescent="0.5">
      <c r="A528" t="s">
        <v>1051</v>
      </c>
      <c r="B528" t="s">
        <v>1685</v>
      </c>
      <c r="C528" s="4" t="str">
        <f>IF(ISERROR(_xlfn.XMATCH(B528,newlist!B:B,0)),"not found","found")</f>
        <v>found</v>
      </c>
    </row>
    <row r="529" spans="1:3" hidden="1" x14ac:dyDescent="0.5">
      <c r="A529" t="s">
        <v>1051</v>
      </c>
      <c r="B529" t="s">
        <v>1661</v>
      </c>
      <c r="C529" s="4" t="str">
        <f>IF(ISERROR(_xlfn.XMATCH(B529,newlist!B:B,0)),"not found","found")</f>
        <v>found</v>
      </c>
    </row>
    <row r="530" spans="1:3" hidden="1" x14ac:dyDescent="0.5">
      <c r="A530" t="s">
        <v>1051</v>
      </c>
      <c r="B530" t="s">
        <v>1539</v>
      </c>
      <c r="C530" s="4" t="str">
        <f>IF(ISERROR(_xlfn.XMATCH(B530,newlist!B:B,0)),"not found","found")</f>
        <v>found</v>
      </c>
    </row>
    <row r="531" spans="1:3" hidden="1" x14ac:dyDescent="0.5">
      <c r="A531" t="s">
        <v>1051</v>
      </c>
      <c r="B531" t="s">
        <v>1963</v>
      </c>
      <c r="C531" s="4" t="str">
        <f>IF(ISERROR(_xlfn.XMATCH(B531,newlist!B:B,0)),"not found","found")</f>
        <v>found</v>
      </c>
    </row>
    <row r="532" spans="1:3" hidden="1" x14ac:dyDescent="0.5">
      <c r="A532" t="s">
        <v>1051</v>
      </c>
      <c r="B532" t="s">
        <v>1927</v>
      </c>
      <c r="C532" s="4" t="str">
        <f>IF(ISERROR(_xlfn.XMATCH(B532,newlist!B:B,0)),"not found","found")</f>
        <v>found</v>
      </c>
    </row>
    <row r="533" spans="1:3" hidden="1" x14ac:dyDescent="0.5">
      <c r="A533" t="s">
        <v>1051</v>
      </c>
      <c r="B533" t="s">
        <v>1077</v>
      </c>
      <c r="C533" s="4" t="str">
        <f>IF(ISERROR(_xlfn.XMATCH(B533,newlist!B:B,0)),"not found","found")</f>
        <v>found</v>
      </c>
    </row>
    <row r="534" spans="1:3" hidden="1" x14ac:dyDescent="0.5">
      <c r="A534" t="s">
        <v>1051</v>
      </c>
      <c r="B534" t="s">
        <v>2023</v>
      </c>
      <c r="C534" s="4" t="str">
        <f>IF(ISERROR(_xlfn.XMATCH(B534,newlist!B:B,0)),"not found","found")</f>
        <v>found</v>
      </c>
    </row>
    <row r="535" spans="1:3" hidden="1" x14ac:dyDescent="0.5">
      <c r="A535" t="s">
        <v>1051</v>
      </c>
      <c r="B535" t="s">
        <v>2601</v>
      </c>
      <c r="C535" s="4" t="str">
        <f>IF(ISERROR(_xlfn.XMATCH(B535,newlist!B:B,0)),"not found","found")</f>
        <v>found</v>
      </c>
    </row>
    <row r="536" spans="1:3" hidden="1" x14ac:dyDescent="0.5">
      <c r="A536" t="s">
        <v>1051</v>
      </c>
      <c r="B536" t="s">
        <v>1751</v>
      </c>
      <c r="C536" s="4" t="str">
        <f>IF(ISERROR(_xlfn.XMATCH(B536,newlist!B:B,0)),"not found","found")</f>
        <v>found</v>
      </c>
    </row>
    <row r="537" spans="1:3" hidden="1" x14ac:dyDescent="0.5">
      <c r="A537" t="s">
        <v>1051</v>
      </c>
      <c r="B537" t="s">
        <v>1721</v>
      </c>
      <c r="C537" s="4" t="str">
        <f>IF(ISERROR(_xlfn.XMATCH(B537,newlist!B:B,0)),"not found","found")</f>
        <v>found</v>
      </c>
    </row>
    <row r="538" spans="1:3" hidden="1" x14ac:dyDescent="0.5">
      <c r="A538" t="s">
        <v>1051</v>
      </c>
      <c r="B538" t="s">
        <v>1585</v>
      </c>
      <c r="C538" s="4" t="str">
        <f>IF(ISERROR(_xlfn.XMATCH(B538,newlist!B:B,0)),"not found","found")</f>
        <v>found</v>
      </c>
    </row>
    <row r="539" spans="1:3" hidden="1" x14ac:dyDescent="0.5">
      <c r="A539" t="s">
        <v>1051</v>
      </c>
      <c r="B539" t="s">
        <v>1273</v>
      </c>
      <c r="C539" s="4" t="str">
        <f>IF(ISERROR(_xlfn.XMATCH(B539,newlist!B:B,0)),"not found","found")</f>
        <v>found</v>
      </c>
    </row>
    <row r="540" spans="1:3" hidden="1" x14ac:dyDescent="0.5">
      <c r="A540" t="s">
        <v>1051</v>
      </c>
      <c r="B540" t="s">
        <v>1497</v>
      </c>
      <c r="C540" s="4" t="str">
        <f>IF(ISERROR(_xlfn.XMATCH(B540,newlist!B:B,0)),"not found","found")</f>
        <v>found</v>
      </c>
    </row>
    <row r="541" spans="1:3" hidden="1" x14ac:dyDescent="0.5">
      <c r="A541" t="s">
        <v>1051</v>
      </c>
      <c r="B541" t="s">
        <v>1365</v>
      </c>
      <c r="C541" s="4" t="str">
        <f>IF(ISERROR(_xlfn.XMATCH(B541,newlist!B:B,0)),"not found","found")</f>
        <v>found</v>
      </c>
    </row>
    <row r="542" spans="1:3" hidden="1" x14ac:dyDescent="0.5">
      <c r="A542" t="s">
        <v>1051</v>
      </c>
      <c r="B542" t="s">
        <v>1159</v>
      </c>
      <c r="C542" s="4" t="str">
        <f>IF(ISERROR(_xlfn.XMATCH(B542,newlist!B:B,0)),"not found","found")</f>
        <v>found</v>
      </c>
    </row>
    <row r="543" spans="1:3" hidden="1" x14ac:dyDescent="0.5">
      <c r="A543" t="s">
        <v>1051</v>
      </c>
      <c r="B543" t="s">
        <v>1071</v>
      </c>
      <c r="C543" s="4" t="str">
        <f>IF(ISERROR(_xlfn.XMATCH(B543,newlist!B:B,0)),"not found","found")</f>
        <v>found</v>
      </c>
    </row>
    <row r="544" spans="1:3" hidden="1" x14ac:dyDescent="0.5">
      <c r="A544" t="s">
        <v>1051</v>
      </c>
      <c r="B544" t="s">
        <v>1073</v>
      </c>
      <c r="C544" s="4" t="str">
        <f>IF(ISERROR(_xlfn.XMATCH(B544,newlist!B:B,0)),"not found","found")</f>
        <v>found</v>
      </c>
    </row>
    <row r="545" spans="1:3" hidden="1" x14ac:dyDescent="0.5">
      <c r="A545" t="s">
        <v>1051</v>
      </c>
      <c r="B545" t="s">
        <v>1243</v>
      </c>
      <c r="C545" s="4" t="str">
        <f>IF(ISERROR(_xlfn.XMATCH(B545,newlist!B:B,0)),"not found","found")</f>
        <v>found</v>
      </c>
    </row>
    <row r="546" spans="1:3" hidden="1" x14ac:dyDescent="0.5">
      <c r="A546" t="s">
        <v>1051</v>
      </c>
      <c r="B546" t="s">
        <v>1631</v>
      </c>
      <c r="C546" s="4" t="str">
        <f>IF(ISERROR(_xlfn.XMATCH(B546,newlist!B:B,0)),"not found","found")</f>
        <v>found</v>
      </c>
    </row>
    <row r="547" spans="1:3" hidden="1" x14ac:dyDescent="0.5">
      <c r="A547" t="s">
        <v>1051</v>
      </c>
      <c r="B547" t="s">
        <v>1493</v>
      </c>
      <c r="C547" s="4" t="str">
        <f>IF(ISERROR(_xlfn.XMATCH(B547,newlist!B:B,0)),"not found","found")</f>
        <v>found</v>
      </c>
    </row>
    <row r="548" spans="1:3" hidden="1" x14ac:dyDescent="0.5">
      <c r="A548" t="s">
        <v>1051</v>
      </c>
      <c r="B548" t="s">
        <v>1727</v>
      </c>
      <c r="C548" s="4" t="str">
        <f>IF(ISERROR(_xlfn.XMATCH(B548,newlist!B:B,0)),"not found","found")</f>
        <v>found</v>
      </c>
    </row>
    <row r="549" spans="1:3" hidden="1" x14ac:dyDescent="0.5">
      <c r="A549" t="s">
        <v>1051</v>
      </c>
      <c r="B549" t="s">
        <v>1765</v>
      </c>
      <c r="C549" s="4" t="str">
        <f>IF(ISERROR(_xlfn.XMATCH(B549,newlist!B:B,0)),"not found","found")</f>
        <v>found</v>
      </c>
    </row>
    <row r="550" spans="1:3" hidden="1" x14ac:dyDescent="0.5">
      <c r="A550" t="s">
        <v>1051</v>
      </c>
      <c r="B550" t="s">
        <v>2325</v>
      </c>
      <c r="C550" s="4" t="str">
        <f>IF(ISERROR(_xlfn.XMATCH(B550,newlist!B:B,0)),"not found","found")</f>
        <v>found</v>
      </c>
    </row>
    <row r="551" spans="1:3" hidden="1" x14ac:dyDescent="0.5">
      <c r="A551" t="s">
        <v>1051</v>
      </c>
      <c r="B551" t="s">
        <v>2275</v>
      </c>
      <c r="C551" s="4" t="str">
        <f>IF(ISERROR(_xlfn.XMATCH(B551,newlist!B:B,0)),"not found","found")</f>
        <v>found</v>
      </c>
    </row>
    <row r="552" spans="1:3" hidden="1" x14ac:dyDescent="0.5">
      <c r="A552" t="s">
        <v>1051</v>
      </c>
      <c r="B552" t="s">
        <v>2349</v>
      </c>
      <c r="C552" s="4" t="str">
        <f>IF(ISERROR(_xlfn.XMATCH(B552,newlist!B:B,0)),"not found","found")</f>
        <v>found</v>
      </c>
    </row>
    <row r="553" spans="1:3" hidden="1" x14ac:dyDescent="0.5">
      <c r="A553" t="s">
        <v>1051</v>
      </c>
      <c r="B553" t="s">
        <v>1413</v>
      </c>
      <c r="C553" s="4" t="str">
        <f>IF(ISERROR(_xlfn.XMATCH(B553,newlist!B:B,0)),"not found","found")</f>
        <v>found</v>
      </c>
    </row>
    <row r="554" spans="1:3" hidden="1" x14ac:dyDescent="0.5">
      <c r="A554" t="s">
        <v>1051</v>
      </c>
      <c r="B554" t="s">
        <v>1421</v>
      </c>
      <c r="C554" s="4" t="str">
        <f>IF(ISERROR(_xlfn.XMATCH(B554,newlist!B:B,0)),"not found","found")</f>
        <v>found</v>
      </c>
    </row>
    <row r="555" spans="1:3" hidden="1" x14ac:dyDescent="0.5">
      <c r="A555" t="s">
        <v>1051</v>
      </c>
      <c r="B555" t="s">
        <v>1427</v>
      </c>
      <c r="C555" s="4" t="str">
        <f>IF(ISERROR(_xlfn.XMATCH(B555,newlist!B:B,0)),"not found","found")</f>
        <v>found</v>
      </c>
    </row>
    <row r="556" spans="1:3" hidden="1" x14ac:dyDescent="0.5">
      <c r="A556" t="s">
        <v>1051</v>
      </c>
      <c r="B556" t="s">
        <v>1993</v>
      </c>
      <c r="C556" s="4" t="str">
        <f>IF(ISERROR(_xlfn.XMATCH(B556,newlist!B:B,0)),"not found","found")</f>
        <v>found</v>
      </c>
    </row>
    <row r="557" spans="1:3" hidden="1" x14ac:dyDescent="0.5">
      <c r="A557" t="s">
        <v>1051</v>
      </c>
      <c r="B557" t="s">
        <v>1901</v>
      </c>
      <c r="C557" s="4" t="str">
        <f>IF(ISERROR(_xlfn.XMATCH(B557,newlist!B:B,0)),"not found","found")</f>
        <v>found</v>
      </c>
    </row>
    <row r="558" spans="1:3" hidden="1" x14ac:dyDescent="0.5">
      <c r="A558" t="s">
        <v>1051</v>
      </c>
      <c r="B558" t="s">
        <v>1561</v>
      </c>
      <c r="C558" s="4" t="str">
        <f>IF(ISERROR(_xlfn.XMATCH(B558,newlist!B:B,0)),"not found","found")</f>
        <v>found</v>
      </c>
    </row>
    <row r="559" spans="1:3" hidden="1" x14ac:dyDescent="0.5">
      <c r="A559" t="s">
        <v>1051</v>
      </c>
      <c r="B559" t="s">
        <v>1781</v>
      </c>
      <c r="C559" s="4" t="str">
        <f>IF(ISERROR(_xlfn.XMATCH(B559,newlist!B:B,0)),"not found","found")</f>
        <v>found</v>
      </c>
    </row>
    <row r="560" spans="1:3" hidden="1" x14ac:dyDescent="0.5">
      <c r="A560" t="s">
        <v>1051</v>
      </c>
      <c r="B560" t="s">
        <v>1619</v>
      </c>
      <c r="C560" s="4" t="str">
        <f>IF(ISERROR(_xlfn.XMATCH(B560,newlist!B:B,0)),"not found","found")</f>
        <v>found</v>
      </c>
    </row>
    <row r="561" spans="1:3" hidden="1" x14ac:dyDescent="0.5">
      <c r="A561" t="s">
        <v>1051</v>
      </c>
      <c r="B561" t="s">
        <v>1829</v>
      </c>
      <c r="C561" s="4" t="str">
        <f>IF(ISERROR(_xlfn.XMATCH(B561,newlist!B:B,0)),"not found","found")</f>
        <v>found</v>
      </c>
    </row>
    <row r="562" spans="1:3" hidden="1" x14ac:dyDescent="0.5">
      <c r="A562" t="s">
        <v>1051</v>
      </c>
      <c r="B562" t="s">
        <v>1515</v>
      </c>
      <c r="C562" s="4" t="str">
        <f>IF(ISERROR(_xlfn.XMATCH(B562,newlist!B:B,0)),"not found","found")</f>
        <v>found</v>
      </c>
    </row>
    <row r="563" spans="1:3" hidden="1" x14ac:dyDescent="0.5">
      <c r="A563" t="s">
        <v>1051</v>
      </c>
      <c r="B563" t="s">
        <v>1573</v>
      </c>
      <c r="C563" s="4" t="str">
        <f>IF(ISERROR(_xlfn.XMATCH(B563,newlist!B:B,0)),"not found","found")</f>
        <v>found</v>
      </c>
    </row>
    <row r="564" spans="1:3" hidden="1" x14ac:dyDescent="0.5">
      <c r="A564" t="s">
        <v>1051</v>
      </c>
      <c r="B564" t="s">
        <v>1121</v>
      </c>
      <c r="C564" s="4" t="str">
        <f>IF(ISERROR(_xlfn.XMATCH(B564,newlist!B:B,0)),"not found","found")</f>
        <v>found</v>
      </c>
    </row>
    <row r="565" spans="1:3" hidden="1" x14ac:dyDescent="0.5">
      <c r="A565" t="s">
        <v>1051</v>
      </c>
      <c r="B565" t="s">
        <v>1689</v>
      </c>
      <c r="C565" s="4" t="str">
        <f>IF(ISERROR(_xlfn.XMATCH(B565,newlist!B:B,0)),"not found","found")</f>
        <v>found</v>
      </c>
    </row>
    <row r="566" spans="1:3" hidden="1" x14ac:dyDescent="0.5">
      <c r="A566" t="s">
        <v>1051</v>
      </c>
      <c r="B566" t="s">
        <v>1787</v>
      </c>
      <c r="C566" s="4" t="str">
        <f>IF(ISERROR(_xlfn.XMATCH(B566,newlist!B:B,0)),"not found","found")</f>
        <v>found</v>
      </c>
    </row>
    <row r="567" spans="1:3" hidden="1" x14ac:dyDescent="0.5">
      <c r="A567" t="s">
        <v>1051</v>
      </c>
      <c r="B567" t="s">
        <v>1165</v>
      </c>
      <c r="C567" s="4" t="str">
        <f>IF(ISERROR(_xlfn.XMATCH(B567,newlist!B:B,0)),"not found","found")</f>
        <v>found</v>
      </c>
    </row>
    <row r="568" spans="1:3" hidden="1" x14ac:dyDescent="0.5">
      <c r="A568" t="s">
        <v>1051</v>
      </c>
      <c r="B568" t="s">
        <v>2167</v>
      </c>
      <c r="C568" s="4" t="str">
        <f>IF(ISERROR(_xlfn.XMATCH(B568,newlist!B:B,0)),"not found","found")</f>
        <v>found</v>
      </c>
    </row>
    <row r="569" spans="1:3" hidden="1" x14ac:dyDescent="0.5">
      <c r="A569" t="s">
        <v>1051</v>
      </c>
      <c r="B569" t="s">
        <v>1683</v>
      </c>
      <c r="C569" s="4" t="str">
        <f>IF(ISERROR(_xlfn.XMATCH(B569,newlist!B:B,0)),"not found","found")</f>
        <v>found</v>
      </c>
    </row>
    <row r="570" spans="1:3" hidden="1" x14ac:dyDescent="0.5">
      <c r="A570" t="s">
        <v>1051</v>
      </c>
      <c r="B570" t="s">
        <v>1861</v>
      </c>
      <c r="C570" s="4" t="str">
        <f>IF(ISERROR(_xlfn.XMATCH(B570,newlist!B:B,0)),"not found","found")</f>
        <v>found</v>
      </c>
    </row>
    <row r="571" spans="1:3" hidden="1" x14ac:dyDescent="0.5">
      <c r="A571" t="s">
        <v>1051</v>
      </c>
      <c r="B571" t="s">
        <v>1091</v>
      </c>
      <c r="C571" s="4" t="str">
        <f>IF(ISERROR(_xlfn.XMATCH(B571,newlist!B:B,0)),"not found","found")</f>
        <v>found</v>
      </c>
    </row>
    <row r="572" spans="1:3" hidden="1" x14ac:dyDescent="0.5">
      <c r="A572" t="s">
        <v>1051</v>
      </c>
      <c r="B572" t="s">
        <v>1050</v>
      </c>
      <c r="C572" s="4" t="str">
        <f>IF(ISERROR(_xlfn.XMATCH(B572,newlist!B:B,0)),"not found","found")</f>
        <v>found</v>
      </c>
    </row>
    <row r="573" spans="1:3" hidden="1" x14ac:dyDescent="0.5">
      <c r="A573" t="s">
        <v>1051</v>
      </c>
      <c r="B573" t="s">
        <v>1219</v>
      </c>
      <c r="C573" s="4" t="str">
        <f>IF(ISERROR(_xlfn.XMATCH(B573,newlist!B:B,0)),"not found","found")</f>
        <v>found</v>
      </c>
    </row>
    <row r="574" spans="1:3" hidden="1" x14ac:dyDescent="0.5">
      <c r="A574" t="s">
        <v>1051</v>
      </c>
      <c r="B574" t="s">
        <v>1309</v>
      </c>
      <c r="C574" s="4" t="str">
        <f>IF(ISERROR(_xlfn.XMATCH(B574,newlist!B:B,0)),"not found","found")</f>
        <v>found</v>
      </c>
    </row>
    <row r="575" spans="1:3" hidden="1" x14ac:dyDescent="0.5">
      <c r="A575" t="s">
        <v>1051</v>
      </c>
      <c r="B575" t="s">
        <v>1179</v>
      </c>
      <c r="C575" s="4" t="str">
        <f>IF(ISERROR(_xlfn.XMATCH(B575,newlist!B:B,0)),"not found","found")</f>
        <v>found</v>
      </c>
    </row>
    <row r="576" spans="1:3" hidden="1" x14ac:dyDescent="0.5">
      <c r="A576" t="s">
        <v>1051</v>
      </c>
      <c r="B576" t="s">
        <v>1891</v>
      </c>
      <c r="C576" s="4" t="str">
        <f>IF(ISERROR(_xlfn.XMATCH(B576,newlist!B:B,0)),"not found","found")</f>
        <v>found</v>
      </c>
    </row>
    <row r="577" spans="1:3" hidden="1" x14ac:dyDescent="0.5">
      <c r="A577" t="s">
        <v>1051</v>
      </c>
      <c r="B577" t="s">
        <v>1767</v>
      </c>
      <c r="C577" s="4" t="str">
        <f>IF(ISERROR(_xlfn.XMATCH(B577,newlist!B:B,0)),"not found","found")</f>
        <v>found</v>
      </c>
    </row>
    <row r="578" spans="1:3" hidden="1" x14ac:dyDescent="0.5">
      <c r="A578" t="s">
        <v>1051</v>
      </c>
      <c r="B578" t="s">
        <v>1939</v>
      </c>
      <c r="C578" s="4" t="str">
        <f>IF(ISERROR(_xlfn.XMATCH(B578,newlist!B:B,0)),"not found","found")</f>
        <v>found</v>
      </c>
    </row>
    <row r="579" spans="1:3" hidden="1" x14ac:dyDescent="0.5">
      <c r="A579" t="s">
        <v>1051</v>
      </c>
      <c r="B579" t="s">
        <v>1457</v>
      </c>
      <c r="C579" s="4" t="str">
        <f>IF(ISERROR(_xlfn.XMATCH(B579,newlist!B:B,0)),"not found","found")</f>
        <v>found</v>
      </c>
    </row>
    <row r="580" spans="1:3" hidden="1" x14ac:dyDescent="0.5">
      <c r="A580" t="s">
        <v>1051</v>
      </c>
      <c r="B580" t="s">
        <v>1973</v>
      </c>
      <c r="C580" s="4" t="str">
        <f>IF(ISERROR(_xlfn.XMATCH(B580,newlist!B:B,0)),"not found","found")</f>
        <v>found</v>
      </c>
    </row>
    <row r="581" spans="1:3" hidden="1" x14ac:dyDescent="0.5">
      <c r="A581" t="s">
        <v>1051</v>
      </c>
      <c r="B581" t="s">
        <v>2389</v>
      </c>
      <c r="C581" s="4" t="str">
        <f>IF(ISERROR(_xlfn.XMATCH(B581,newlist!B:B,0)),"not found","found")</f>
        <v>found</v>
      </c>
    </row>
    <row r="582" spans="1:3" hidden="1" x14ac:dyDescent="0.5">
      <c r="A582" t="s">
        <v>1051</v>
      </c>
      <c r="B582" t="s">
        <v>2067</v>
      </c>
      <c r="C582" s="4" t="str">
        <f>IF(ISERROR(_xlfn.XMATCH(B582,newlist!B:B,0)),"not found","found")</f>
        <v>found</v>
      </c>
    </row>
    <row r="583" spans="1:3" hidden="1" x14ac:dyDescent="0.5">
      <c r="A583" t="s">
        <v>1051</v>
      </c>
      <c r="B583" t="s">
        <v>1581</v>
      </c>
      <c r="C583" s="4" t="str">
        <f>IF(ISERROR(_xlfn.XMATCH(B583,newlist!B:B,0)),"not found","found")</f>
        <v>found</v>
      </c>
    </row>
    <row r="584" spans="1:3" hidden="1" x14ac:dyDescent="0.5">
      <c r="A584" t="s">
        <v>1051</v>
      </c>
      <c r="B584" t="s">
        <v>1605</v>
      </c>
      <c r="C584" s="4" t="str">
        <f>IF(ISERROR(_xlfn.XMATCH(B584,newlist!B:B,0)),"not found","found")</f>
        <v>found</v>
      </c>
    </row>
    <row r="585" spans="1:3" hidden="1" x14ac:dyDescent="0.5">
      <c r="A585" t="s">
        <v>1051</v>
      </c>
      <c r="B585" t="s">
        <v>2257</v>
      </c>
      <c r="C585" s="4" t="str">
        <f>IF(ISERROR(_xlfn.XMATCH(B585,newlist!B:B,0)),"not found","found")</f>
        <v>found</v>
      </c>
    </row>
    <row r="586" spans="1:3" hidden="1" x14ac:dyDescent="0.5">
      <c r="A586" t="s">
        <v>1051</v>
      </c>
      <c r="B586" t="s">
        <v>2191</v>
      </c>
      <c r="C586" s="4" t="str">
        <f>IF(ISERROR(_xlfn.XMATCH(B586,newlist!B:B,0)),"not found","found")</f>
        <v>found</v>
      </c>
    </row>
    <row r="587" spans="1:3" hidden="1" x14ac:dyDescent="0.5">
      <c r="A587" t="s">
        <v>1051</v>
      </c>
      <c r="B587" t="s">
        <v>1899</v>
      </c>
      <c r="C587" s="4" t="str">
        <f>IF(ISERROR(_xlfn.XMATCH(B587,newlist!B:B,0)),"not found","found")</f>
        <v>found</v>
      </c>
    </row>
    <row r="588" spans="1:3" hidden="1" x14ac:dyDescent="0.5">
      <c r="A588" t="s">
        <v>1051</v>
      </c>
      <c r="B588" t="s">
        <v>2161</v>
      </c>
      <c r="C588" s="4" t="str">
        <f>IF(ISERROR(_xlfn.XMATCH(B588,newlist!B:B,0)),"not found","found")</f>
        <v>found</v>
      </c>
    </row>
    <row r="589" spans="1:3" hidden="1" x14ac:dyDescent="0.5">
      <c r="A589" t="s">
        <v>1051</v>
      </c>
      <c r="B589" t="s">
        <v>2203</v>
      </c>
      <c r="C589" s="4" t="str">
        <f>IF(ISERROR(_xlfn.XMATCH(B589,newlist!B:B,0)),"not found","found")</f>
        <v>found</v>
      </c>
    </row>
    <row r="590" spans="1:3" hidden="1" x14ac:dyDescent="0.5">
      <c r="A590" t="s">
        <v>1051</v>
      </c>
      <c r="B590" t="s">
        <v>1761</v>
      </c>
      <c r="C590" s="4" t="str">
        <f>IF(ISERROR(_xlfn.XMATCH(B590,newlist!B:B,0)),"not found","found")</f>
        <v>found</v>
      </c>
    </row>
    <row r="591" spans="1:3" hidden="1" x14ac:dyDescent="0.5">
      <c r="A591" t="s">
        <v>1051</v>
      </c>
      <c r="B591" t="s">
        <v>1785</v>
      </c>
      <c r="C591" s="4" t="str">
        <f>IF(ISERROR(_xlfn.XMATCH(B591,newlist!B:B,0)),"not found","found")</f>
        <v>found</v>
      </c>
    </row>
    <row r="592" spans="1:3" hidden="1" x14ac:dyDescent="0.5">
      <c r="A592" t="s">
        <v>1051</v>
      </c>
      <c r="B592" t="s">
        <v>2245</v>
      </c>
      <c r="C592" s="4" t="str">
        <f>IF(ISERROR(_xlfn.XMATCH(B592,newlist!B:B,0)),"not found","found")</f>
        <v>found</v>
      </c>
    </row>
    <row r="593" spans="1:3" hidden="1" x14ac:dyDescent="0.5">
      <c r="A593" t="s">
        <v>1051</v>
      </c>
      <c r="B593" t="s">
        <v>2243</v>
      </c>
      <c r="C593" s="4" t="str">
        <f>IF(ISERROR(_xlfn.XMATCH(B593,newlist!B:B,0)),"not found","found")</f>
        <v>found</v>
      </c>
    </row>
    <row r="594" spans="1:3" hidden="1" x14ac:dyDescent="0.5">
      <c r="A594" t="s">
        <v>1051</v>
      </c>
      <c r="B594" t="s">
        <v>1915</v>
      </c>
      <c r="C594" s="4" t="str">
        <f>IF(ISERROR(_xlfn.XMATCH(B594,newlist!B:B,0)),"not found","found")</f>
        <v>found</v>
      </c>
    </row>
    <row r="595" spans="1:3" hidden="1" x14ac:dyDescent="0.5">
      <c r="A595" t="s">
        <v>1051</v>
      </c>
      <c r="B595" t="s">
        <v>1679</v>
      </c>
      <c r="C595" s="4" t="str">
        <f>IF(ISERROR(_xlfn.XMATCH(B595,newlist!B:B,0)),"not found","found")</f>
        <v>found</v>
      </c>
    </row>
    <row r="596" spans="1:3" hidden="1" x14ac:dyDescent="0.5">
      <c r="A596" t="s">
        <v>1051</v>
      </c>
      <c r="B596" t="s">
        <v>1815</v>
      </c>
      <c r="C596" s="4" t="str">
        <f>IF(ISERROR(_xlfn.XMATCH(B596,newlist!B:B,0)),"not found","found")</f>
        <v>found</v>
      </c>
    </row>
    <row r="597" spans="1:3" hidden="1" x14ac:dyDescent="0.5">
      <c r="A597" t="s">
        <v>1051</v>
      </c>
      <c r="B597" t="s">
        <v>1321</v>
      </c>
      <c r="C597" s="4" t="str">
        <f>IF(ISERROR(_xlfn.XMATCH(B597,newlist!B:B,0)),"not found","found")</f>
        <v>found</v>
      </c>
    </row>
    <row r="598" spans="1:3" hidden="1" x14ac:dyDescent="0.5">
      <c r="A598" t="s">
        <v>1051</v>
      </c>
      <c r="B598" t="s">
        <v>1163</v>
      </c>
      <c r="C598" s="4" t="str">
        <f>IF(ISERROR(_xlfn.XMATCH(B598,newlist!B:B,0)),"not found","found")</f>
        <v>found</v>
      </c>
    </row>
    <row r="599" spans="1:3" hidden="1" x14ac:dyDescent="0.5">
      <c r="A599" t="s">
        <v>1051</v>
      </c>
      <c r="B599" t="s">
        <v>1913</v>
      </c>
      <c r="C599" s="4" t="str">
        <f>IF(ISERROR(_xlfn.XMATCH(B599,newlist!B:B,0)),"not found","found")</f>
        <v>found</v>
      </c>
    </row>
    <row r="600" spans="1:3" hidden="1" x14ac:dyDescent="0.5">
      <c r="A600" t="s">
        <v>1051</v>
      </c>
      <c r="B600" t="s">
        <v>1907</v>
      </c>
      <c r="C600" s="4" t="str">
        <f>IF(ISERROR(_xlfn.XMATCH(B600,newlist!B:B,0)),"not found","found")</f>
        <v>found</v>
      </c>
    </row>
    <row r="601" spans="1:3" hidden="1" x14ac:dyDescent="0.5">
      <c r="A601" t="s">
        <v>1051</v>
      </c>
      <c r="B601" t="s">
        <v>1241</v>
      </c>
      <c r="C601" s="4" t="str">
        <f>IF(ISERROR(_xlfn.XMATCH(B601,newlist!B:B,0)),"not found","found")</f>
        <v>found</v>
      </c>
    </row>
    <row r="602" spans="1:3" hidden="1" x14ac:dyDescent="0.5">
      <c r="A602" t="s">
        <v>1051</v>
      </c>
      <c r="B602" t="s">
        <v>1697</v>
      </c>
      <c r="C602" s="4" t="str">
        <f>IF(ISERROR(_xlfn.XMATCH(B602,newlist!B:B,0)),"not found","found")</f>
        <v>found</v>
      </c>
    </row>
    <row r="603" spans="1:3" hidden="1" x14ac:dyDescent="0.5">
      <c r="A603" t="s">
        <v>1051</v>
      </c>
      <c r="B603" t="s">
        <v>1139</v>
      </c>
      <c r="C603" s="4" t="str">
        <f>IF(ISERROR(_xlfn.XMATCH(B603,newlist!B:B,0)),"not found","found")</f>
        <v>found</v>
      </c>
    </row>
    <row r="604" spans="1:3" hidden="1" x14ac:dyDescent="0.5">
      <c r="A604" t="s">
        <v>1051</v>
      </c>
      <c r="B604" t="s">
        <v>1887</v>
      </c>
      <c r="C604" s="4" t="str">
        <f>IF(ISERROR(_xlfn.XMATCH(B604,newlist!B:B,0)),"not found","found")</f>
        <v>found</v>
      </c>
    </row>
    <row r="605" spans="1:3" hidden="1" x14ac:dyDescent="0.5">
      <c r="A605" t="s">
        <v>1051</v>
      </c>
      <c r="B605" t="s">
        <v>2379</v>
      </c>
      <c r="C605" s="4" t="str">
        <f>IF(ISERROR(_xlfn.XMATCH(B605,newlist!B:B,0)),"not found","found")</f>
        <v>found</v>
      </c>
    </row>
    <row r="606" spans="1:3" hidden="1" x14ac:dyDescent="0.5">
      <c r="A606" t="s">
        <v>1051</v>
      </c>
      <c r="B606" t="s">
        <v>2189</v>
      </c>
      <c r="C606" s="4" t="str">
        <f>IF(ISERROR(_xlfn.XMATCH(B606,newlist!B:B,0)),"not found","found")</f>
        <v>found</v>
      </c>
    </row>
    <row r="607" spans="1:3" hidden="1" x14ac:dyDescent="0.5">
      <c r="A607" t="s">
        <v>1051</v>
      </c>
      <c r="B607" t="s">
        <v>1181</v>
      </c>
      <c r="C607" s="4" t="str">
        <f>IF(ISERROR(_xlfn.XMATCH(B607,newlist!B:B,0)),"not found","found")</f>
        <v>found</v>
      </c>
    </row>
    <row r="608" spans="1:3" hidden="1" x14ac:dyDescent="0.5">
      <c r="A608" t="s">
        <v>1051</v>
      </c>
      <c r="B608" t="s">
        <v>1965</v>
      </c>
      <c r="C608" s="4" t="str">
        <f>IF(ISERROR(_xlfn.XMATCH(B608,newlist!B:B,0)),"not found","found")</f>
        <v>found</v>
      </c>
    </row>
    <row r="609" spans="1:3" hidden="1" x14ac:dyDescent="0.5">
      <c r="A609" t="s">
        <v>1051</v>
      </c>
      <c r="B609" t="s">
        <v>1287</v>
      </c>
      <c r="C609" s="4" t="str">
        <f>IF(ISERROR(_xlfn.XMATCH(B609,newlist!B:B,0)),"not found","found")</f>
        <v>found</v>
      </c>
    </row>
    <row r="610" spans="1:3" hidden="1" x14ac:dyDescent="0.5">
      <c r="A610" t="s">
        <v>1051</v>
      </c>
      <c r="B610" t="s">
        <v>1327</v>
      </c>
      <c r="C610" s="4" t="str">
        <f>IF(ISERROR(_xlfn.XMATCH(B610,newlist!B:B,0)),"not found","found")</f>
        <v>found</v>
      </c>
    </row>
    <row r="611" spans="1:3" hidden="1" x14ac:dyDescent="0.5">
      <c r="A611" t="s">
        <v>1051</v>
      </c>
      <c r="B611" t="s">
        <v>1065</v>
      </c>
      <c r="C611" s="4" t="str">
        <f>IF(ISERROR(_xlfn.XMATCH(B611,newlist!B:B,0)),"not found","found")</f>
        <v>found</v>
      </c>
    </row>
    <row r="612" spans="1:3" hidden="1" x14ac:dyDescent="0.5">
      <c r="A612" t="s">
        <v>1051</v>
      </c>
      <c r="B612" t="s">
        <v>1141</v>
      </c>
      <c r="C612" s="4" t="str">
        <f>IF(ISERROR(_xlfn.XMATCH(B612,newlist!B:B,0)),"not found","found")</f>
        <v>found</v>
      </c>
    </row>
    <row r="613" spans="1:3" hidden="1" x14ac:dyDescent="0.5">
      <c r="A613" t="s">
        <v>1051</v>
      </c>
      <c r="B613" t="s">
        <v>1223</v>
      </c>
      <c r="C613" s="4" t="str">
        <f>IF(ISERROR(_xlfn.XMATCH(B613,newlist!B:B,0)),"not found","found")</f>
        <v>found</v>
      </c>
    </row>
    <row r="614" spans="1:3" hidden="1" x14ac:dyDescent="0.5">
      <c r="A614" t="s">
        <v>1051</v>
      </c>
      <c r="B614" t="s">
        <v>1229</v>
      </c>
      <c r="C614" s="4" t="str">
        <f>IF(ISERROR(_xlfn.XMATCH(B614,newlist!B:B,0)),"not found","found")</f>
        <v>found</v>
      </c>
    </row>
    <row r="615" spans="1:3" hidden="1" x14ac:dyDescent="0.5">
      <c r="A615" t="s">
        <v>1051</v>
      </c>
      <c r="B615" t="s">
        <v>1054</v>
      </c>
      <c r="C615" s="4" t="str">
        <f>IF(ISERROR(_xlfn.XMATCH(B615,newlist!B:B,0)),"not found","found")</f>
        <v>found</v>
      </c>
    </row>
    <row r="616" spans="1:3" hidden="1" x14ac:dyDescent="0.5">
      <c r="A616" t="s">
        <v>1051</v>
      </c>
      <c r="B616" t="s">
        <v>2031</v>
      </c>
      <c r="C616" s="4" t="str">
        <f>IF(ISERROR(_xlfn.XMATCH(B616,newlist!B:B,0)),"not found","found")</f>
        <v>found</v>
      </c>
    </row>
    <row r="617" spans="1:3" hidden="1" x14ac:dyDescent="0.5">
      <c r="A617" t="s">
        <v>1051</v>
      </c>
      <c r="B617" t="s">
        <v>1205</v>
      </c>
      <c r="C617" s="4" t="str">
        <f>IF(ISERROR(_xlfn.XMATCH(B617,newlist!B:B,0)),"not found","found")</f>
        <v>found</v>
      </c>
    </row>
    <row r="618" spans="1:3" hidden="1" x14ac:dyDescent="0.5">
      <c r="A618" t="s">
        <v>1051</v>
      </c>
      <c r="B618" t="s">
        <v>1659</v>
      </c>
      <c r="C618" s="4" t="str">
        <f>IF(ISERROR(_xlfn.XMATCH(B618,newlist!B:B,0)),"not found","found")</f>
        <v>found</v>
      </c>
    </row>
    <row r="619" spans="1:3" hidden="1" x14ac:dyDescent="0.5">
      <c r="A619" t="s">
        <v>1051</v>
      </c>
      <c r="B619" t="s">
        <v>1653</v>
      </c>
      <c r="C619" s="4" t="str">
        <f>IF(ISERROR(_xlfn.XMATCH(B619,newlist!B:B,0)),"not found","found")</f>
        <v>found</v>
      </c>
    </row>
    <row r="620" spans="1:3" hidden="1" x14ac:dyDescent="0.5">
      <c r="A620" t="s">
        <v>1051</v>
      </c>
      <c r="B620" t="s">
        <v>1695</v>
      </c>
      <c r="C620" s="4" t="str">
        <f>IF(ISERROR(_xlfn.XMATCH(B620,newlist!B:B,0)),"not found","found")</f>
        <v>found</v>
      </c>
    </row>
    <row r="621" spans="1:3" hidden="1" x14ac:dyDescent="0.5">
      <c r="A621" t="s">
        <v>1051</v>
      </c>
      <c r="B621" t="s">
        <v>1575</v>
      </c>
      <c r="C621" s="4" t="str">
        <f>IF(ISERROR(_xlfn.XMATCH(B621,newlist!B:B,0)),"not found","found")</f>
        <v>found</v>
      </c>
    </row>
    <row r="622" spans="1:3" hidden="1" x14ac:dyDescent="0.5">
      <c r="A622" t="s">
        <v>1051</v>
      </c>
      <c r="B622" t="s">
        <v>1221</v>
      </c>
      <c r="C622" s="4" t="str">
        <f>IF(ISERROR(_xlfn.XMATCH(B622,newlist!B:B,0)),"not found","found")</f>
        <v>found</v>
      </c>
    </row>
    <row r="623" spans="1:3" hidden="1" x14ac:dyDescent="0.5">
      <c r="A623" t="s">
        <v>1051</v>
      </c>
      <c r="B623" t="s">
        <v>2083</v>
      </c>
      <c r="C623" s="4" t="str">
        <f>IF(ISERROR(_xlfn.XMATCH(B623,newlist!B:B,0)),"not found","found")</f>
        <v>found</v>
      </c>
    </row>
    <row r="624" spans="1:3" hidden="1" x14ac:dyDescent="0.5">
      <c r="A624" t="s">
        <v>1051</v>
      </c>
      <c r="B624" t="s">
        <v>1633</v>
      </c>
      <c r="C624" s="4" t="str">
        <f>IF(ISERROR(_xlfn.XMATCH(B624,newlist!B:B,0)),"not found","found")</f>
        <v>found</v>
      </c>
    </row>
    <row r="625" spans="1:3" hidden="1" x14ac:dyDescent="0.5">
      <c r="A625" t="s">
        <v>1051</v>
      </c>
      <c r="B625" t="s">
        <v>1889</v>
      </c>
      <c r="C625" s="4" t="str">
        <f>IF(ISERROR(_xlfn.XMATCH(B625,newlist!B:B,0)),"not found","found")</f>
        <v>found</v>
      </c>
    </row>
    <row r="626" spans="1:3" hidden="1" x14ac:dyDescent="0.5">
      <c r="A626" t="s">
        <v>1051</v>
      </c>
      <c r="B626" t="s">
        <v>1979</v>
      </c>
      <c r="C626" s="4" t="str">
        <f>IF(ISERROR(_xlfn.XMATCH(B626,newlist!B:B,0)),"not found","found")</f>
        <v>found</v>
      </c>
    </row>
    <row r="627" spans="1:3" hidden="1" x14ac:dyDescent="0.5">
      <c r="A627" t="s">
        <v>1051</v>
      </c>
      <c r="B627" t="s">
        <v>1463</v>
      </c>
      <c r="C627" s="4" t="str">
        <f>IF(ISERROR(_xlfn.XMATCH(B627,newlist!B:B,0)),"not found","found")</f>
        <v>found</v>
      </c>
    </row>
    <row r="628" spans="1:3" hidden="1" x14ac:dyDescent="0.5">
      <c r="A628" t="s">
        <v>1051</v>
      </c>
      <c r="B628" t="s">
        <v>1315</v>
      </c>
      <c r="C628" s="4" t="str">
        <f>IF(ISERROR(_xlfn.XMATCH(B628,newlist!B:B,0)),"not found","found")</f>
        <v>found</v>
      </c>
    </row>
    <row r="629" spans="1:3" hidden="1" x14ac:dyDescent="0.5">
      <c r="A629" t="s">
        <v>1051</v>
      </c>
      <c r="B629" t="s">
        <v>2173</v>
      </c>
      <c r="C629" s="4" t="str">
        <f>IF(ISERROR(_xlfn.XMATCH(B629,newlist!B:B,0)),"not found","found")</f>
        <v>found</v>
      </c>
    </row>
    <row r="630" spans="1:3" hidden="1" x14ac:dyDescent="0.5">
      <c r="A630" t="s">
        <v>1051</v>
      </c>
      <c r="B630" t="s">
        <v>2155</v>
      </c>
      <c r="C630" s="4" t="str">
        <f>IF(ISERROR(_xlfn.XMATCH(B630,newlist!B:B,0)),"not found","found")</f>
        <v>found</v>
      </c>
    </row>
    <row r="631" spans="1:3" hidden="1" x14ac:dyDescent="0.5">
      <c r="A631" t="s">
        <v>1051</v>
      </c>
      <c r="B631" t="s">
        <v>1251</v>
      </c>
      <c r="C631" s="4" t="str">
        <f>IF(ISERROR(_xlfn.XMATCH(B631,newlist!B:B,0)),"not found","found")</f>
        <v>found</v>
      </c>
    </row>
    <row r="632" spans="1:3" hidden="1" x14ac:dyDescent="0.5">
      <c r="A632" t="s">
        <v>1051</v>
      </c>
      <c r="B632" t="s">
        <v>1081</v>
      </c>
      <c r="C632" s="4" t="str">
        <f>IF(ISERROR(_xlfn.XMATCH(B632,newlist!B:B,0)),"not found","found")</f>
        <v>found</v>
      </c>
    </row>
    <row r="633" spans="1:3" hidden="1" x14ac:dyDescent="0.5">
      <c r="A633" t="s">
        <v>1051</v>
      </c>
      <c r="B633" t="s">
        <v>2027</v>
      </c>
      <c r="C633" s="4" t="str">
        <f>IF(ISERROR(_xlfn.XMATCH(B633,newlist!B:B,0)),"not found","found")</f>
        <v>found</v>
      </c>
    </row>
    <row r="634" spans="1:3" hidden="1" x14ac:dyDescent="0.5">
      <c r="A634" t="s">
        <v>1051</v>
      </c>
      <c r="B634" t="s">
        <v>1537</v>
      </c>
      <c r="C634" s="4" t="str">
        <f>IF(ISERROR(_xlfn.XMATCH(B634,newlist!B:B,0)),"not found","found")</f>
        <v>found</v>
      </c>
    </row>
    <row r="635" spans="1:3" hidden="1" x14ac:dyDescent="0.5">
      <c r="A635" t="s">
        <v>1051</v>
      </c>
      <c r="B635" t="s">
        <v>2111</v>
      </c>
      <c r="C635" s="4" t="str">
        <f>IF(ISERROR(_xlfn.XMATCH(B635,newlist!B:B,0)),"not found","found")</f>
        <v>found</v>
      </c>
    </row>
    <row r="636" spans="1:3" hidden="1" x14ac:dyDescent="0.5">
      <c r="A636" t="s">
        <v>1051</v>
      </c>
      <c r="B636" t="s">
        <v>1173</v>
      </c>
      <c r="C636" s="4" t="str">
        <f>IF(ISERROR(_xlfn.XMATCH(B636,newlist!B:B,0)),"not found","found")</f>
        <v>found</v>
      </c>
    </row>
    <row r="637" spans="1:3" hidden="1" x14ac:dyDescent="0.5">
      <c r="A637" t="s">
        <v>1051</v>
      </c>
      <c r="B637" t="s">
        <v>1839</v>
      </c>
      <c r="C637" s="4" t="str">
        <f>IF(ISERROR(_xlfn.XMATCH(B637,newlist!B:B,0)),"not found","found")</f>
        <v>found</v>
      </c>
    </row>
    <row r="638" spans="1:3" hidden="1" x14ac:dyDescent="0.5">
      <c r="A638" t="s">
        <v>1051</v>
      </c>
      <c r="B638" t="s">
        <v>2061</v>
      </c>
      <c r="C638" s="4" t="str">
        <f>IF(ISERROR(_xlfn.XMATCH(B638,newlist!B:B,0)),"not found","found")</f>
        <v>found</v>
      </c>
    </row>
    <row r="639" spans="1:3" hidden="1" x14ac:dyDescent="0.5">
      <c r="A639" t="s">
        <v>1051</v>
      </c>
      <c r="B639" t="s">
        <v>1087</v>
      </c>
      <c r="C639" s="4" t="str">
        <f>IF(ISERROR(_xlfn.XMATCH(B639,newlist!B:B,0)),"not found","found")</f>
        <v>found</v>
      </c>
    </row>
    <row r="640" spans="1:3" hidden="1" x14ac:dyDescent="0.5">
      <c r="A640" t="s">
        <v>1051</v>
      </c>
      <c r="B640" t="s">
        <v>1675</v>
      </c>
      <c r="C640" s="4" t="str">
        <f>IF(ISERROR(_xlfn.XMATCH(B640,newlist!B:B,0)),"not found","found")</f>
        <v>found</v>
      </c>
    </row>
    <row r="641" spans="1:3" hidden="1" x14ac:dyDescent="0.5">
      <c r="A641" t="s">
        <v>1051</v>
      </c>
      <c r="B641" t="s">
        <v>2153</v>
      </c>
      <c r="C641" s="4" t="str">
        <f>IF(ISERROR(_xlfn.XMATCH(B641,newlist!B:B,0)),"not found","found")</f>
        <v>found</v>
      </c>
    </row>
    <row r="642" spans="1:3" hidden="1" x14ac:dyDescent="0.5">
      <c r="A642" t="s">
        <v>1051</v>
      </c>
      <c r="B642" t="s">
        <v>1571</v>
      </c>
      <c r="C642" s="4" t="str">
        <f>IF(ISERROR(_xlfn.XMATCH(B642,newlist!B:B,0)),"not found","found")</f>
        <v>found</v>
      </c>
    </row>
    <row r="643" spans="1:3" hidden="1" x14ac:dyDescent="0.5">
      <c r="A643" t="s">
        <v>1051</v>
      </c>
      <c r="B643" t="s">
        <v>2035</v>
      </c>
      <c r="C643" s="4" t="str">
        <f>IF(ISERROR(_xlfn.XMATCH(B643,newlist!B:B,0)),"not found","found")</f>
        <v>found</v>
      </c>
    </row>
    <row r="644" spans="1:3" hidden="1" x14ac:dyDescent="0.5">
      <c r="A644" t="s">
        <v>1051</v>
      </c>
      <c r="B644" t="s">
        <v>2081</v>
      </c>
      <c r="C644" s="4" t="str">
        <f>IF(ISERROR(_xlfn.XMATCH(B644,newlist!B:B,0)),"not found","found")</f>
        <v>found</v>
      </c>
    </row>
    <row r="645" spans="1:3" hidden="1" x14ac:dyDescent="0.5">
      <c r="A645" t="s">
        <v>1051</v>
      </c>
      <c r="B645" t="s">
        <v>2097</v>
      </c>
      <c r="C645" s="4" t="str">
        <f>IF(ISERROR(_xlfn.XMATCH(B645,newlist!B:B,0)),"not found","found")</f>
        <v>found</v>
      </c>
    </row>
    <row r="646" spans="1:3" hidden="1" x14ac:dyDescent="0.5">
      <c r="A646" t="s">
        <v>1051</v>
      </c>
      <c r="B646" t="s">
        <v>1879</v>
      </c>
      <c r="C646" s="4" t="str">
        <f>IF(ISERROR(_xlfn.XMATCH(B646,newlist!B:B,0)),"not found","found")</f>
        <v>found</v>
      </c>
    </row>
    <row r="647" spans="1:3" hidden="1" x14ac:dyDescent="0.5">
      <c r="A647" t="s">
        <v>1051</v>
      </c>
      <c r="B647" t="s">
        <v>2491</v>
      </c>
      <c r="C647" s="4" t="str">
        <f>IF(ISERROR(_xlfn.XMATCH(B647,newlist!B:B,0)),"not found","found")</f>
        <v>found</v>
      </c>
    </row>
    <row r="648" spans="1:3" hidden="1" x14ac:dyDescent="0.5">
      <c r="A648" t="s">
        <v>1051</v>
      </c>
      <c r="B648" t="s">
        <v>1419</v>
      </c>
      <c r="C648" s="4" t="str">
        <f>IF(ISERROR(_xlfn.XMATCH(B648,newlist!B:B,0)),"not found","found")</f>
        <v>found</v>
      </c>
    </row>
    <row r="649" spans="1:3" hidden="1" x14ac:dyDescent="0.5">
      <c r="A649" t="s">
        <v>1051</v>
      </c>
      <c r="B649" t="s">
        <v>1469</v>
      </c>
      <c r="C649" s="4" t="str">
        <f>IF(ISERROR(_xlfn.XMATCH(B649,newlist!B:B,0)),"not found","found")</f>
        <v>found</v>
      </c>
    </row>
    <row r="650" spans="1:3" hidden="1" x14ac:dyDescent="0.5">
      <c r="A650" t="s">
        <v>1051</v>
      </c>
      <c r="B650" t="s">
        <v>2443</v>
      </c>
      <c r="C650" s="4" t="str">
        <f>IF(ISERROR(_xlfn.XMATCH(B650,newlist!B:B,0)),"not found","found")</f>
        <v>found</v>
      </c>
    </row>
    <row r="651" spans="1:3" hidden="1" x14ac:dyDescent="0.5">
      <c r="A651" t="s">
        <v>1051</v>
      </c>
      <c r="B651" t="s">
        <v>1197</v>
      </c>
      <c r="C651" s="4" t="str">
        <f>IF(ISERROR(_xlfn.XMATCH(B651,newlist!B:B,0)),"not found","found")</f>
        <v>found</v>
      </c>
    </row>
    <row r="652" spans="1:3" hidden="1" x14ac:dyDescent="0.5">
      <c r="A652" t="s">
        <v>1051</v>
      </c>
      <c r="B652" t="s">
        <v>1959</v>
      </c>
      <c r="C652" s="4" t="str">
        <f>IF(ISERROR(_xlfn.XMATCH(B652,newlist!B:B,0)),"not found","found")</f>
        <v>found</v>
      </c>
    </row>
    <row r="653" spans="1:3" hidden="1" x14ac:dyDescent="0.5">
      <c r="A653" t="s">
        <v>1051</v>
      </c>
      <c r="B653" t="s">
        <v>2395</v>
      </c>
      <c r="C653" s="4" t="str">
        <f>IF(ISERROR(_xlfn.XMATCH(B653,newlist!B:B,0)),"not found","found")</f>
        <v>found</v>
      </c>
    </row>
    <row r="654" spans="1:3" hidden="1" x14ac:dyDescent="0.5">
      <c r="A654" t="s">
        <v>1051</v>
      </c>
      <c r="B654" t="s">
        <v>1871</v>
      </c>
      <c r="C654" s="4" t="str">
        <f>IF(ISERROR(_xlfn.XMATCH(B654,newlist!B:B,0)),"not found","found")</f>
        <v>found</v>
      </c>
    </row>
    <row r="655" spans="1:3" hidden="1" x14ac:dyDescent="0.5">
      <c r="A655" t="s">
        <v>1051</v>
      </c>
      <c r="B655" t="s">
        <v>1739</v>
      </c>
      <c r="C655" s="4" t="str">
        <f>IF(ISERROR(_xlfn.XMATCH(B655,newlist!B:B,0)),"not found","found")</f>
        <v>found</v>
      </c>
    </row>
    <row r="656" spans="1:3" hidden="1" x14ac:dyDescent="0.5">
      <c r="A656" t="s">
        <v>1051</v>
      </c>
      <c r="B656" t="s">
        <v>1157</v>
      </c>
      <c r="C656" s="4" t="str">
        <f>IF(ISERROR(_xlfn.XMATCH(B656,newlist!B:B,0)),"not found","found")</f>
        <v>found</v>
      </c>
    </row>
    <row r="657" spans="1:3" hidden="1" x14ac:dyDescent="0.5">
      <c r="A657" t="s">
        <v>1051</v>
      </c>
      <c r="B657" t="s">
        <v>1723</v>
      </c>
      <c r="C657" s="4" t="str">
        <f>IF(ISERROR(_xlfn.XMATCH(B657,newlist!B:B,0)),"not found","found")</f>
        <v>found</v>
      </c>
    </row>
    <row r="658" spans="1:3" hidden="1" x14ac:dyDescent="0.5">
      <c r="A658" t="s">
        <v>1051</v>
      </c>
      <c r="B658" t="s">
        <v>1371</v>
      </c>
      <c r="C658" s="4" t="str">
        <f>IF(ISERROR(_xlfn.XMATCH(B658,newlist!B:B,0)),"not found","found")</f>
        <v>found</v>
      </c>
    </row>
    <row r="659" spans="1:3" hidden="1" x14ac:dyDescent="0.5">
      <c r="A659" t="s">
        <v>1051</v>
      </c>
      <c r="B659" t="s">
        <v>1133</v>
      </c>
      <c r="C659" s="4" t="str">
        <f>IF(ISERROR(_xlfn.XMATCH(B659,newlist!B:B,0)),"not found","found")</f>
        <v>found</v>
      </c>
    </row>
    <row r="660" spans="1:3" hidden="1" x14ac:dyDescent="0.5">
      <c r="A660" t="s">
        <v>1051</v>
      </c>
      <c r="B660" t="s">
        <v>1145</v>
      </c>
      <c r="C660" s="4" t="str">
        <f>IF(ISERROR(_xlfn.XMATCH(B660,newlist!B:B,0)),"not found","found")</f>
        <v>found</v>
      </c>
    </row>
    <row r="661" spans="1:3" hidden="1" x14ac:dyDescent="0.5">
      <c r="A661" t="s">
        <v>1051</v>
      </c>
      <c r="B661" t="s">
        <v>1783</v>
      </c>
      <c r="C661" s="4" t="str">
        <f>IF(ISERROR(_xlfn.XMATCH(B661,newlist!B:B,0)),"not found","found")</f>
        <v>found</v>
      </c>
    </row>
    <row r="662" spans="1:3" hidden="1" x14ac:dyDescent="0.5">
      <c r="A662" t="s">
        <v>1051</v>
      </c>
      <c r="B662" t="s">
        <v>1691</v>
      </c>
      <c r="C662" s="4" t="str">
        <f>IF(ISERROR(_xlfn.XMATCH(B662,newlist!B:B,0)),"not found","found")</f>
        <v>found</v>
      </c>
    </row>
    <row r="663" spans="1:3" hidden="1" x14ac:dyDescent="0.5">
      <c r="A663" t="s">
        <v>1051</v>
      </c>
      <c r="B663" t="s">
        <v>1555</v>
      </c>
      <c r="C663" s="4" t="str">
        <f>IF(ISERROR(_xlfn.XMATCH(B663,newlist!B:B,0)),"not found","found")</f>
        <v>found</v>
      </c>
    </row>
    <row r="664" spans="1:3" hidden="1" x14ac:dyDescent="0.5">
      <c r="A664" t="s">
        <v>1051</v>
      </c>
      <c r="B664" t="s">
        <v>1249</v>
      </c>
      <c r="C664" s="4" t="str">
        <f>IF(ISERROR(_xlfn.XMATCH(B664,newlist!B:B,0)),"not found","found")</f>
        <v>found</v>
      </c>
    </row>
    <row r="665" spans="1:3" hidden="1" x14ac:dyDescent="0.5">
      <c r="A665" t="s">
        <v>1051</v>
      </c>
      <c r="B665" t="s">
        <v>2501</v>
      </c>
      <c r="C665" s="4" t="str">
        <f>IF(ISERROR(_xlfn.XMATCH(B665,newlist!B:B,0)),"not found","found")</f>
        <v>found</v>
      </c>
    </row>
    <row r="666" spans="1:3" hidden="1" x14ac:dyDescent="0.5">
      <c r="A666" t="s">
        <v>1051</v>
      </c>
      <c r="B666" t="s">
        <v>1089</v>
      </c>
      <c r="C666" s="4" t="str">
        <f>IF(ISERROR(_xlfn.XMATCH(B666,newlist!B:B,0)),"not found","found")</f>
        <v>found</v>
      </c>
    </row>
    <row r="667" spans="1:3" hidden="1" x14ac:dyDescent="0.5">
      <c r="A667" t="s">
        <v>1051</v>
      </c>
      <c r="B667" t="s">
        <v>2577</v>
      </c>
      <c r="C667" s="4" t="str">
        <f>IF(ISERROR(_xlfn.XMATCH(B667,newlist!B:B,0)),"not found","found")</f>
        <v>found</v>
      </c>
    </row>
    <row r="668" spans="1:3" hidden="1" x14ac:dyDescent="0.5">
      <c r="A668" t="s">
        <v>1051</v>
      </c>
      <c r="B668" t="s">
        <v>1677</v>
      </c>
      <c r="C668" s="4" t="str">
        <f>IF(ISERROR(_xlfn.XMATCH(B668,newlist!B:B,0)),"not found","found")</f>
        <v>found</v>
      </c>
    </row>
    <row r="669" spans="1:3" hidden="1" x14ac:dyDescent="0.5">
      <c r="A669" t="s">
        <v>1051</v>
      </c>
      <c r="B669" t="s">
        <v>1265</v>
      </c>
      <c r="C669" s="4" t="str">
        <f>IF(ISERROR(_xlfn.XMATCH(B669,newlist!B:B,0)),"not found","found")</f>
        <v>found</v>
      </c>
    </row>
    <row r="670" spans="1:3" hidden="1" x14ac:dyDescent="0.5">
      <c r="A670" t="s">
        <v>1051</v>
      </c>
      <c r="B670" t="s">
        <v>1095</v>
      </c>
      <c r="C670" s="4" t="str">
        <f>IF(ISERROR(_xlfn.XMATCH(B670,newlist!B:B,0)),"not found","found")</f>
        <v>found</v>
      </c>
    </row>
    <row r="671" spans="1:3" hidden="1" x14ac:dyDescent="0.5">
      <c r="A671" t="s">
        <v>1051</v>
      </c>
      <c r="B671" t="s">
        <v>1203</v>
      </c>
      <c r="C671" s="4" t="str">
        <f>IF(ISERROR(_xlfn.XMATCH(B671,newlist!B:B,0)),"not found","found")</f>
        <v>found</v>
      </c>
    </row>
    <row r="672" spans="1:3" hidden="1" x14ac:dyDescent="0.5">
      <c r="A672" t="s">
        <v>1051</v>
      </c>
      <c r="B672" t="s">
        <v>2611</v>
      </c>
      <c r="C672" s="4" t="str">
        <f>IF(ISERROR(_xlfn.XMATCH(B672,newlist!B:B,0)),"not found","found")</f>
        <v>found</v>
      </c>
    </row>
    <row r="673" spans="1:3" hidden="1" x14ac:dyDescent="0.5">
      <c r="A673" t="s">
        <v>1051</v>
      </c>
      <c r="B673" t="s">
        <v>1911</v>
      </c>
      <c r="C673" s="4" t="str">
        <f>IF(ISERROR(_xlfn.XMATCH(B673,newlist!B:B,0)),"not found","found")</f>
        <v>found</v>
      </c>
    </row>
    <row r="674" spans="1:3" hidden="1" x14ac:dyDescent="0.5">
      <c r="A674" t="s">
        <v>1051</v>
      </c>
      <c r="B674" t="s">
        <v>1559</v>
      </c>
      <c r="C674" s="4" t="str">
        <f>IF(ISERROR(_xlfn.XMATCH(B674,newlist!B:B,0)),"not found","found")</f>
        <v>found</v>
      </c>
    </row>
    <row r="675" spans="1:3" hidden="1" x14ac:dyDescent="0.5">
      <c r="A675" t="s">
        <v>1051</v>
      </c>
      <c r="B675" t="s">
        <v>1199</v>
      </c>
      <c r="C675" s="4" t="str">
        <f>IF(ISERROR(_xlfn.XMATCH(B675,newlist!B:B,0)),"not found","found")</f>
        <v>found</v>
      </c>
    </row>
    <row r="676" spans="1:3" hidden="1" x14ac:dyDescent="0.5">
      <c r="A676" t="s">
        <v>1051</v>
      </c>
      <c r="B676" t="s">
        <v>2131</v>
      </c>
      <c r="C676" s="4" t="str">
        <f>IF(ISERROR(_xlfn.XMATCH(B676,newlist!B:B,0)),"not found","found")</f>
        <v>found</v>
      </c>
    </row>
    <row r="677" spans="1:3" hidden="1" x14ac:dyDescent="0.5">
      <c r="A677" t="s">
        <v>1051</v>
      </c>
      <c r="B677" t="s">
        <v>1545</v>
      </c>
      <c r="C677" s="4" t="str">
        <f>IF(ISERROR(_xlfn.XMATCH(B677,newlist!B:B,0)),"not found","found")</f>
        <v>found</v>
      </c>
    </row>
    <row r="678" spans="1:3" hidden="1" x14ac:dyDescent="0.5">
      <c r="A678" t="s">
        <v>1051</v>
      </c>
      <c r="B678" t="s">
        <v>1479</v>
      </c>
      <c r="C678" s="4" t="str">
        <f>IF(ISERROR(_xlfn.XMATCH(B678,newlist!B:B,0)),"not found","found")</f>
        <v>found</v>
      </c>
    </row>
    <row r="679" spans="1:3" hidden="1" x14ac:dyDescent="0.5">
      <c r="A679" t="s">
        <v>1051</v>
      </c>
      <c r="B679" t="s">
        <v>2695</v>
      </c>
      <c r="C679" s="4" t="str">
        <f>IF(ISERROR(_xlfn.XMATCH(B679,newlist!B:B,0)),"not found","found")</f>
        <v>found</v>
      </c>
    </row>
    <row r="680" spans="1:3" hidden="1" x14ac:dyDescent="0.5">
      <c r="A680" t="s">
        <v>1051</v>
      </c>
      <c r="B680" t="s">
        <v>1591</v>
      </c>
      <c r="C680" s="4" t="str">
        <f>IF(ISERROR(_xlfn.XMATCH(B680,newlist!B:B,0)),"not found","found")</f>
        <v>found</v>
      </c>
    </row>
    <row r="681" spans="1:3" hidden="1" x14ac:dyDescent="0.5">
      <c r="A681" t="s">
        <v>1051</v>
      </c>
      <c r="B681" t="s">
        <v>1621</v>
      </c>
      <c r="C681" s="4" t="str">
        <f>IF(ISERROR(_xlfn.XMATCH(B681,newlist!B:B,0)),"not found","found")</f>
        <v>found</v>
      </c>
    </row>
    <row r="682" spans="1:3" hidden="1" x14ac:dyDescent="0.5">
      <c r="A682" t="s">
        <v>1051</v>
      </c>
      <c r="B682" t="s">
        <v>1909</v>
      </c>
      <c r="C682" s="4" t="str">
        <f>IF(ISERROR(_xlfn.XMATCH(B682,newlist!B:B,0)),"not found","found")</f>
        <v>found</v>
      </c>
    </row>
    <row r="683" spans="1:3" hidden="1" x14ac:dyDescent="0.5">
      <c r="A683" t="s">
        <v>1051</v>
      </c>
      <c r="B683" t="s">
        <v>1349</v>
      </c>
      <c r="C683" s="4" t="str">
        <f>IF(ISERROR(_xlfn.XMATCH(B683,newlist!B:B,0)),"not found","found")</f>
        <v>found</v>
      </c>
    </row>
    <row r="684" spans="1:3" hidden="1" x14ac:dyDescent="0.5">
      <c r="A684" t="s">
        <v>1051</v>
      </c>
      <c r="B684" t="s">
        <v>1875</v>
      </c>
      <c r="C684" s="4" t="str">
        <f>IF(ISERROR(_xlfn.XMATCH(B684,newlist!B:B,0)),"not found","found")</f>
        <v>found</v>
      </c>
    </row>
    <row r="685" spans="1:3" hidden="1" x14ac:dyDescent="0.5">
      <c r="A685" t="s">
        <v>1051</v>
      </c>
      <c r="B685" t="s">
        <v>2757</v>
      </c>
      <c r="C685" s="4" t="str">
        <f>IF(ISERROR(_xlfn.XMATCH(B685,newlist!B:B,0)),"not found","found")</f>
        <v>found</v>
      </c>
    </row>
    <row r="686" spans="1:3" hidden="1" x14ac:dyDescent="0.5">
      <c r="A686" t="s">
        <v>1051</v>
      </c>
      <c r="B686" t="s">
        <v>1565</v>
      </c>
      <c r="C686" s="4" t="str">
        <f>IF(ISERROR(_xlfn.XMATCH(B686,newlist!B:B,0)),"not found","found")</f>
        <v>found</v>
      </c>
    </row>
    <row r="687" spans="1:3" hidden="1" x14ac:dyDescent="0.5">
      <c r="A687" t="s">
        <v>1051</v>
      </c>
      <c r="B687" t="s">
        <v>1271</v>
      </c>
      <c r="C687" s="4" t="str">
        <f>IF(ISERROR(_xlfn.XMATCH(B687,newlist!B:B,0)),"not found","found")</f>
        <v>found</v>
      </c>
    </row>
    <row r="688" spans="1:3" hidden="1" x14ac:dyDescent="0.5">
      <c r="A688" t="s">
        <v>1051</v>
      </c>
      <c r="B688" t="s">
        <v>1797</v>
      </c>
      <c r="C688" s="4" t="str">
        <f>IF(ISERROR(_xlfn.XMATCH(B688,newlist!B:B,0)),"not found","found")</f>
        <v>found</v>
      </c>
    </row>
    <row r="689" spans="1:3" hidden="1" x14ac:dyDescent="0.5">
      <c r="A689" t="s">
        <v>1051</v>
      </c>
      <c r="B689" t="s">
        <v>1921</v>
      </c>
      <c r="C689" s="4" t="str">
        <f>IF(ISERROR(_xlfn.XMATCH(B689,newlist!B:B,0)),"not found","found")</f>
        <v>found</v>
      </c>
    </row>
    <row r="690" spans="1:3" hidden="1" x14ac:dyDescent="0.5">
      <c r="A690" t="s">
        <v>1051</v>
      </c>
      <c r="B690" t="s">
        <v>1813</v>
      </c>
      <c r="C690" s="4" t="str">
        <f>IF(ISERROR(_xlfn.XMATCH(B690,newlist!B:B,0)),"not found","found")</f>
        <v>found</v>
      </c>
    </row>
    <row r="691" spans="1:3" hidden="1" x14ac:dyDescent="0.5">
      <c r="A691" t="s">
        <v>1051</v>
      </c>
      <c r="B691" t="s">
        <v>2125</v>
      </c>
      <c r="C691" s="4" t="str">
        <f>IF(ISERROR(_xlfn.XMATCH(B691,newlist!B:B,0)),"not found","found")</f>
        <v>found</v>
      </c>
    </row>
    <row r="692" spans="1:3" hidden="1" x14ac:dyDescent="0.5">
      <c r="A692" t="s">
        <v>1051</v>
      </c>
      <c r="B692" t="s">
        <v>2285</v>
      </c>
      <c r="C692" s="4" t="str">
        <f>IF(ISERROR(_xlfn.XMATCH(B692,newlist!B:B,0)),"not found","found")</f>
        <v>found</v>
      </c>
    </row>
    <row r="693" spans="1:3" hidden="1" x14ac:dyDescent="0.5">
      <c r="A693" t="s">
        <v>1051</v>
      </c>
      <c r="B693" t="s">
        <v>1735</v>
      </c>
      <c r="C693" s="4" t="str">
        <f>IF(ISERROR(_xlfn.XMATCH(B693,newlist!B:B,0)),"not found","found")</f>
        <v>found</v>
      </c>
    </row>
    <row r="694" spans="1:3" hidden="1" x14ac:dyDescent="0.5">
      <c r="A694" t="s">
        <v>1051</v>
      </c>
      <c r="B694" t="s">
        <v>2041</v>
      </c>
      <c r="C694" s="4" t="str">
        <f>IF(ISERROR(_xlfn.XMATCH(B694,newlist!B:B,0)),"not found","found")</f>
        <v>found</v>
      </c>
    </row>
    <row r="695" spans="1:3" hidden="1" x14ac:dyDescent="0.5">
      <c r="A695" t="s">
        <v>1051</v>
      </c>
      <c r="B695" t="s">
        <v>2423</v>
      </c>
      <c r="C695" s="4" t="str">
        <f>IF(ISERROR(_xlfn.XMATCH(B695,newlist!B:B,0)),"not found","found")</f>
        <v>found</v>
      </c>
    </row>
    <row r="696" spans="1:3" hidden="1" x14ac:dyDescent="0.5">
      <c r="A696" t="s">
        <v>1051</v>
      </c>
      <c r="B696" t="s">
        <v>1623</v>
      </c>
      <c r="C696" s="4" t="str">
        <f>IF(ISERROR(_xlfn.XMATCH(B696,newlist!B:B,0)),"not found","found")</f>
        <v>found</v>
      </c>
    </row>
    <row r="697" spans="1:3" hidden="1" x14ac:dyDescent="0.5">
      <c r="A697" t="s">
        <v>1051</v>
      </c>
      <c r="B697" t="s">
        <v>2261</v>
      </c>
      <c r="C697" s="4" t="str">
        <f>IF(ISERROR(_xlfn.XMATCH(B697,newlist!B:B,0)),"not found","found")</f>
        <v>found</v>
      </c>
    </row>
    <row r="698" spans="1:3" hidden="1" x14ac:dyDescent="0.5">
      <c r="A698" t="s">
        <v>1051</v>
      </c>
      <c r="B698" t="s">
        <v>1791</v>
      </c>
      <c r="C698" s="4" t="str">
        <f>IF(ISERROR(_xlfn.XMATCH(B698,newlist!B:B,0)),"not found","found")</f>
        <v>found</v>
      </c>
    </row>
    <row r="699" spans="1:3" hidden="1" x14ac:dyDescent="0.5">
      <c r="A699" t="s">
        <v>1051</v>
      </c>
      <c r="B699" t="s">
        <v>1069</v>
      </c>
      <c r="C699" s="4" t="str">
        <f>IF(ISERROR(_xlfn.XMATCH(B699,newlist!B:B,0)),"not found","found")</f>
        <v>found</v>
      </c>
    </row>
    <row r="700" spans="1:3" hidden="1" x14ac:dyDescent="0.5">
      <c r="A700" t="s">
        <v>1051</v>
      </c>
      <c r="B700" t="s">
        <v>1789</v>
      </c>
      <c r="C700" s="4" t="str">
        <f>IF(ISERROR(_xlfn.XMATCH(B700,newlist!B:B,0)),"not found","found")</f>
        <v>found</v>
      </c>
    </row>
    <row r="701" spans="1:3" hidden="1" x14ac:dyDescent="0.5">
      <c r="A701" t="s">
        <v>1051</v>
      </c>
      <c r="B701" t="s">
        <v>1083</v>
      </c>
      <c r="C701" s="4" t="str">
        <f>IF(ISERROR(_xlfn.XMATCH(B701,newlist!B:B,0)),"not found","found")</f>
        <v>found</v>
      </c>
    </row>
    <row r="702" spans="1:3" x14ac:dyDescent="0.5">
      <c r="A702" t="s">
        <v>1051</v>
      </c>
      <c r="B702" t="s">
        <v>2789</v>
      </c>
      <c r="C702" s="4" t="str">
        <f>IF(ISERROR(_xlfn.XMATCH(B702,newlist!B:B,0)),"not found","found")</f>
        <v>not found</v>
      </c>
    </row>
    <row r="703" spans="1:3" hidden="1" x14ac:dyDescent="0.5">
      <c r="A703" t="s">
        <v>1051</v>
      </c>
      <c r="B703" t="s">
        <v>1853</v>
      </c>
      <c r="C703" s="4" t="str">
        <f>IF(ISERROR(_xlfn.XMATCH(B703,newlist!B:B,0)),"not found","found")</f>
        <v>found</v>
      </c>
    </row>
    <row r="704" spans="1:3" hidden="1" x14ac:dyDescent="0.5">
      <c r="A704" t="s">
        <v>1051</v>
      </c>
      <c r="B704" t="s">
        <v>1061</v>
      </c>
      <c r="C704" s="4" t="str">
        <f>IF(ISERROR(_xlfn.XMATCH(B704,newlist!B:B,0)),"not found","found")</f>
        <v>found</v>
      </c>
    </row>
    <row r="705" spans="1:3" hidden="1" x14ac:dyDescent="0.5">
      <c r="A705" t="s">
        <v>1051</v>
      </c>
      <c r="B705" t="s">
        <v>1279</v>
      </c>
      <c r="C705" s="4" t="str">
        <f>IF(ISERROR(_xlfn.XMATCH(B705,newlist!B:B,0)),"not found","found")</f>
        <v>found</v>
      </c>
    </row>
    <row r="706" spans="1:3" hidden="1" x14ac:dyDescent="0.5">
      <c r="A706" t="s">
        <v>1051</v>
      </c>
      <c r="B706" t="s">
        <v>2607</v>
      </c>
      <c r="C706" s="4" t="str">
        <f>IF(ISERROR(_xlfn.XMATCH(B706,newlist!B:B,0)),"not found","found")</f>
        <v>found</v>
      </c>
    </row>
    <row r="707" spans="1:3" hidden="1" x14ac:dyDescent="0.5">
      <c r="A707" t="s">
        <v>1051</v>
      </c>
      <c r="B707" t="s">
        <v>1833</v>
      </c>
      <c r="C707" s="4" t="str">
        <f>IF(ISERROR(_xlfn.XMATCH(B707,newlist!B:B,0)),"not found","found")</f>
        <v>found</v>
      </c>
    </row>
    <row r="708" spans="1:3" hidden="1" x14ac:dyDescent="0.5">
      <c r="A708" t="s">
        <v>1051</v>
      </c>
      <c r="B708" t="s">
        <v>1597</v>
      </c>
      <c r="C708" s="4" t="str">
        <f>IF(ISERROR(_xlfn.XMATCH(B708,newlist!B:B,0)),"not found","found")</f>
        <v>found</v>
      </c>
    </row>
    <row r="709" spans="1:3" hidden="1" x14ac:dyDescent="0.5">
      <c r="A709" t="s">
        <v>1051</v>
      </c>
      <c r="B709" t="s">
        <v>1111</v>
      </c>
      <c r="C709" s="4" t="str">
        <f>IF(ISERROR(_xlfn.XMATCH(B709,newlist!B:B,0)),"not found","found")</f>
        <v>found</v>
      </c>
    </row>
    <row r="710" spans="1:3" hidden="1" x14ac:dyDescent="0.5">
      <c r="A710" t="s">
        <v>1051</v>
      </c>
      <c r="B710" t="s">
        <v>1281</v>
      </c>
      <c r="C710" s="4" t="str">
        <f>IF(ISERROR(_xlfn.XMATCH(B710,newlist!B:B,0)),"not found","found")</f>
        <v>found</v>
      </c>
    </row>
    <row r="711" spans="1:3" hidden="1" x14ac:dyDescent="0.5">
      <c r="A711" t="s">
        <v>1051</v>
      </c>
      <c r="B711" t="s">
        <v>2105</v>
      </c>
      <c r="C711" s="4" t="str">
        <f>IF(ISERROR(_xlfn.XMATCH(B711,newlist!B:B,0)),"not found","found")</f>
        <v>found</v>
      </c>
    </row>
    <row r="712" spans="1:3" hidden="1" x14ac:dyDescent="0.5">
      <c r="A712" t="s">
        <v>1051</v>
      </c>
      <c r="B712" t="s">
        <v>1451</v>
      </c>
      <c r="C712" s="4" t="str">
        <f>IF(ISERROR(_xlfn.XMATCH(B712,newlist!B:B,0)),"not found","found")</f>
        <v>found</v>
      </c>
    </row>
    <row r="713" spans="1:3" hidden="1" x14ac:dyDescent="0.5">
      <c r="A713" t="s">
        <v>1051</v>
      </c>
      <c r="B713" t="s">
        <v>1651</v>
      </c>
      <c r="C713" s="4" t="str">
        <f>IF(ISERROR(_xlfn.XMATCH(B713,newlist!B:B,0)),"not found","found")</f>
        <v>found</v>
      </c>
    </row>
    <row r="714" spans="1:3" hidden="1" x14ac:dyDescent="0.5">
      <c r="A714" t="s">
        <v>1051</v>
      </c>
      <c r="B714" t="s">
        <v>1595</v>
      </c>
      <c r="C714" s="4" t="str">
        <f>IF(ISERROR(_xlfn.XMATCH(B714,newlist!B:B,0)),"not found","found")</f>
        <v>found</v>
      </c>
    </row>
    <row r="715" spans="1:3" hidden="1" x14ac:dyDescent="0.5">
      <c r="A715" t="s">
        <v>1051</v>
      </c>
      <c r="B715" t="s">
        <v>1143</v>
      </c>
      <c r="C715" s="4" t="str">
        <f>IF(ISERROR(_xlfn.XMATCH(B715,newlist!B:B,0)),"not found","found")</f>
        <v>found</v>
      </c>
    </row>
    <row r="716" spans="1:3" hidden="1" x14ac:dyDescent="0.5">
      <c r="A716" t="s">
        <v>1051</v>
      </c>
      <c r="B716" t="s">
        <v>1715</v>
      </c>
      <c r="C716" s="4" t="str">
        <f>IF(ISERROR(_xlfn.XMATCH(B716,newlist!B:B,0)),"not found","found")</f>
        <v>found</v>
      </c>
    </row>
    <row r="717" spans="1:3" hidden="1" x14ac:dyDescent="0.5">
      <c r="A717" t="s">
        <v>1051</v>
      </c>
      <c r="B717" t="s">
        <v>1543</v>
      </c>
      <c r="C717" s="4" t="str">
        <f>IF(ISERROR(_xlfn.XMATCH(B717,newlist!B:B,0)),"not found","found")</f>
        <v>found</v>
      </c>
    </row>
    <row r="718" spans="1:3" hidden="1" x14ac:dyDescent="0.5">
      <c r="A718" t="s">
        <v>1051</v>
      </c>
      <c r="B718" t="s">
        <v>2209</v>
      </c>
      <c r="C718" s="4" t="str">
        <f>IF(ISERROR(_xlfn.XMATCH(B718,newlist!B:B,0)),"not found","found")</f>
        <v>found</v>
      </c>
    </row>
    <row r="719" spans="1:3" hidden="1" x14ac:dyDescent="0.5">
      <c r="A719" t="s">
        <v>1051</v>
      </c>
      <c r="B719" t="s">
        <v>1109</v>
      </c>
      <c r="C719" s="4" t="str">
        <f>IF(ISERROR(_xlfn.XMATCH(B719,newlist!B:B,0)),"not found","found")</f>
        <v>found</v>
      </c>
    </row>
    <row r="720" spans="1:3" hidden="1" x14ac:dyDescent="0.5">
      <c r="A720" t="s">
        <v>1051</v>
      </c>
      <c r="B720" t="s">
        <v>1499</v>
      </c>
      <c r="C720" s="4" t="str">
        <f>IF(ISERROR(_xlfn.XMATCH(B720,newlist!B:B,0)),"not found","found")</f>
        <v>found</v>
      </c>
    </row>
    <row r="721" spans="1:3" hidden="1" x14ac:dyDescent="0.5">
      <c r="A721" t="s">
        <v>1051</v>
      </c>
      <c r="B721" t="s">
        <v>1511</v>
      </c>
      <c r="C721" s="4" t="str">
        <f>IF(ISERROR(_xlfn.XMATCH(B721,newlist!B:B,0)),"not found","found")</f>
        <v>found</v>
      </c>
    </row>
    <row r="722" spans="1:3" hidden="1" x14ac:dyDescent="0.5">
      <c r="A722" t="s">
        <v>1051</v>
      </c>
      <c r="B722" t="s">
        <v>1859</v>
      </c>
      <c r="C722" s="4" t="str">
        <f>IF(ISERROR(_xlfn.XMATCH(B722,newlist!B:B,0)),"not found","found")</f>
        <v>found</v>
      </c>
    </row>
    <row r="723" spans="1:3" hidden="1" x14ac:dyDescent="0.5">
      <c r="A723" t="s">
        <v>1051</v>
      </c>
      <c r="B723" t="s">
        <v>1805</v>
      </c>
      <c r="C723" s="4" t="str">
        <f>IF(ISERROR(_xlfn.XMATCH(B723,newlist!B:B,0)),"not found","found")</f>
        <v>found</v>
      </c>
    </row>
    <row r="724" spans="1:3" hidden="1" x14ac:dyDescent="0.5">
      <c r="A724" t="s">
        <v>1051</v>
      </c>
      <c r="B724" t="s">
        <v>2205</v>
      </c>
      <c r="C724" s="4" t="str">
        <f>IF(ISERROR(_xlfn.XMATCH(B724,newlist!B:B,0)),"not found","found")</f>
        <v>found</v>
      </c>
    </row>
    <row r="725" spans="1:3" hidden="1" x14ac:dyDescent="0.5">
      <c r="A725" t="s">
        <v>1051</v>
      </c>
      <c r="B725" t="s">
        <v>1295</v>
      </c>
      <c r="C725" s="4" t="str">
        <f>IF(ISERROR(_xlfn.XMATCH(B725,newlist!B:B,0)),"not found","found")</f>
        <v>found</v>
      </c>
    </row>
    <row r="726" spans="1:3" hidden="1" x14ac:dyDescent="0.5">
      <c r="A726" t="s">
        <v>1051</v>
      </c>
      <c r="B726" t="s">
        <v>2553</v>
      </c>
      <c r="C726" s="4" t="str">
        <f>IF(ISERROR(_xlfn.XMATCH(B726,newlist!B:B,0)),"not found","found")</f>
        <v>found</v>
      </c>
    </row>
    <row r="727" spans="1:3" hidden="1" x14ac:dyDescent="0.5">
      <c r="A727" t="s">
        <v>1051</v>
      </c>
      <c r="B727" t="s">
        <v>1311</v>
      </c>
      <c r="C727" s="4" t="str">
        <f>IF(ISERROR(_xlfn.XMATCH(B727,newlist!B:B,0)),"not found","found")</f>
        <v>found</v>
      </c>
    </row>
    <row r="728" spans="1:3" hidden="1" x14ac:dyDescent="0.5">
      <c r="A728" t="s">
        <v>1051</v>
      </c>
      <c r="B728" t="s">
        <v>1119</v>
      </c>
      <c r="C728" s="4" t="str">
        <f>IF(ISERROR(_xlfn.XMATCH(B728,newlist!B:B,0)),"not found","found")</f>
        <v>found</v>
      </c>
    </row>
    <row r="729" spans="1:3" hidden="1" x14ac:dyDescent="0.5">
      <c r="A729" t="s">
        <v>1051</v>
      </c>
      <c r="B729" t="s">
        <v>1487</v>
      </c>
      <c r="C729" s="4" t="str">
        <f>IF(ISERROR(_xlfn.XMATCH(B729,newlist!B:B,0)),"not found","found")</f>
        <v>found</v>
      </c>
    </row>
    <row r="730" spans="1:3" hidden="1" x14ac:dyDescent="0.5">
      <c r="A730" t="s">
        <v>1051</v>
      </c>
      <c r="B730" t="s">
        <v>1471</v>
      </c>
      <c r="C730" s="4" t="str">
        <f>IF(ISERROR(_xlfn.XMATCH(B730,newlist!B:B,0)),"not found","found")</f>
        <v>found</v>
      </c>
    </row>
    <row r="731" spans="1:3" hidden="1" x14ac:dyDescent="0.5">
      <c r="A731" t="s">
        <v>1051</v>
      </c>
      <c r="B731" t="s">
        <v>1477</v>
      </c>
      <c r="C731" s="4" t="str">
        <f>IF(ISERROR(_xlfn.XMATCH(B731,newlist!B:B,0)),"not found","found")</f>
        <v>found</v>
      </c>
    </row>
    <row r="732" spans="1:3" hidden="1" x14ac:dyDescent="0.5">
      <c r="A732" t="s">
        <v>1051</v>
      </c>
      <c r="B732" t="s">
        <v>2265</v>
      </c>
      <c r="C732" s="4" t="str">
        <f>IF(ISERROR(_xlfn.XMATCH(B732,newlist!B:B,0)),"not found","found")</f>
        <v>found</v>
      </c>
    </row>
    <row r="733" spans="1:3" hidden="1" x14ac:dyDescent="0.5">
      <c r="A733" t="s">
        <v>1051</v>
      </c>
      <c r="B733" t="s">
        <v>1625</v>
      </c>
      <c r="C733" s="4" t="str">
        <f>IF(ISERROR(_xlfn.XMATCH(B733,newlist!B:B,0)),"not found","found")</f>
        <v>found</v>
      </c>
    </row>
    <row r="734" spans="1:3" hidden="1" x14ac:dyDescent="0.5">
      <c r="A734" t="s">
        <v>1051</v>
      </c>
      <c r="B734" t="s">
        <v>1079</v>
      </c>
      <c r="C734" s="4" t="str">
        <f>IF(ISERROR(_xlfn.XMATCH(B734,newlist!B:B,0)),"not found","found")</f>
        <v>found</v>
      </c>
    </row>
    <row r="735" spans="1:3" hidden="1" x14ac:dyDescent="0.5">
      <c r="A735" t="s">
        <v>1051</v>
      </c>
      <c r="B735" t="s">
        <v>1215</v>
      </c>
      <c r="C735" s="4" t="str">
        <f>IF(ISERROR(_xlfn.XMATCH(B735,newlist!B:B,0)),"not found","found")</f>
        <v>found</v>
      </c>
    </row>
    <row r="736" spans="1:3" hidden="1" x14ac:dyDescent="0.5">
      <c r="A736" t="s">
        <v>1051</v>
      </c>
      <c r="B736" t="s">
        <v>1297</v>
      </c>
      <c r="C736" s="4" t="str">
        <f>IF(ISERROR(_xlfn.XMATCH(B736,newlist!B:B,0)),"not found","found")</f>
        <v>found</v>
      </c>
    </row>
    <row r="737" spans="1:3" hidden="1" x14ac:dyDescent="0.5">
      <c r="A737" t="s">
        <v>1051</v>
      </c>
      <c r="B737" t="s">
        <v>1293</v>
      </c>
      <c r="C737" s="4" t="str">
        <f>IF(ISERROR(_xlfn.XMATCH(B737,newlist!B:B,0)),"not found","found")</f>
        <v>found</v>
      </c>
    </row>
    <row r="738" spans="1:3" hidden="1" x14ac:dyDescent="0.5">
      <c r="A738" t="s">
        <v>1051</v>
      </c>
      <c r="B738" t="s">
        <v>1103</v>
      </c>
      <c r="C738" s="4" t="str">
        <f>IF(ISERROR(_xlfn.XMATCH(B738,newlist!B:B,0)),"not found","found")</f>
        <v>found</v>
      </c>
    </row>
    <row r="739" spans="1:3" hidden="1" x14ac:dyDescent="0.5">
      <c r="A739" t="s">
        <v>1051</v>
      </c>
      <c r="B739" t="s">
        <v>1529</v>
      </c>
      <c r="C739" s="4" t="str">
        <f>IF(ISERROR(_xlfn.XMATCH(B739,newlist!B:B,0)),"not found","found")</f>
        <v>found</v>
      </c>
    </row>
    <row r="740" spans="1:3" hidden="1" x14ac:dyDescent="0.5">
      <c r="A740" t="s">
        <v>1051</v>
      </c>
      <c r="B740" t="s">
        <v>1831</v>
      </c>
      <c r="C740" s="4" t="str">
        <f>IF(ISERROR(_xlfn.XMATCH(B740,newlist!B:B,0)),"not found","found")</f>
        <v>found</v>
      </c>
    </row>
    <row r="741" spans="1:3" hidden="1" x14ac:dyDescent="0.5">
      <c r="A741" t="s">
        <v>1051</v>
      </c>
      <c r="B741" t="s">
        <v>1305</v>
      </c>
      <c r="C741" s="4" t="str">
        <f>IF(ISERROR(_xlfn.XMATCH(B741,newlist!B:B,0)),"not found","found")</f>
        <v>found</v>
      </c>
    </row>
    <row r="742" spans="1:3" hidden="1" x14ac:dyDescent="0.5">
      <c r="A742" t="s">
        <v>1051</v>
      </c>
      <c r="B742" t="s">
        <v>1895</v>
      </c>
      <c r="C742" s="4" t="str">
        <f>IF(ISERROR(_xlfn.XMATCH(B742,newlist!B:B,0)),"not found","found")</f>
        <v>found</v>
      </c>
    </row>
    <row r="743" spans="1:3" hidden="1" x14ac:dyDescent="0.5">
      <c r="A743" t="s">
        <v>1051</v>
      </c>
      <c r="B743" t="s">
        <v>1935</v>
      </c>
      <c r="C743" s="4" t="str">
        <f>IF(ISERROR(_xlfn.XMATCH(B743,newlist!B:B,0)),"not found","found")</f>
        <v>found</v>
      </c>
    </row>
    <row r="744" spans="1:3" hidden="1" x14ac:dyDescent="0.5">
      <c r="A744" t="s">
        <v>1051</v>
      </c>
      <c r="B744" t="s">
        <v>2055</v>
      </c>
      <c r="C744" s="4" t="str">
        <f>IF(ISERROR(_xlfn.XMATCH(B744,newlist!B:B,0)),"not found","found")</f>
        <v>found</v>
      </c>
    </row>
    <row r="745" spans="1:3" hidden="1" x14ac:dyDescent="0.5">
      <c r="A745" t="s">
        <v>1051</v>
      </c>
      <c r="B745" t="s">
        <v>1115</v>
      </c>
      <c r="C745" s="4" t="str">
        <f>IF(ISERROR(_xlfn.XMATCH(B745,newlist!B:B,0)),"not found","found")</f>
        <v>found</v>
      </c>
    </row>
    <row r="746" spans="1:3" hidden="1" x14ac:dyDescent="0.5">
      <c r="A746" t="s">
        <v>1051</v>
      </c>
      <c r="B746" t="s">
        <v>2297</v>
      </c>
      <c r="C746" s="4" t="str">
        <f>IF(ISERROR(_xlfn.XMATCH(B746,newlist!B:B,0)),"not found","found")</f>
        <v>found</v>
      </c>
    </row>
    <row r="747" spans="1:3" hidden="1" x14ac:dyDescent="0.5">
      <c r="A747" t="s">
        <v>1051</v>
      </c>
      <c r="B747" t="s">
        <v>1949</v>
      </c>
      <c r="C747" s="4" t="str">
        <f>IF(ISERROR(_xlfn.XMATCH(B747,newlist!B:B,0)),"not found","found")</f>
        <v>found</v>
      </c>
    </row>
    <row r="748" spans="1:3" hidden="1" x14ac:dyDescent="0.5">
      <c r="A748" t="s">
        <v>1051</v>
      </c>
      <c r="B748" t="s">
        <v>2255</v>
      </c>
      <c r="C748" s="4" t="str">
        <f>IF(ISERROR(_xlfn.XMATCH(B748,newlist!B:B,0)),"not found","found")</f>
        <v>found</v>
      </c>
    </row>
    <row r="749" spans="1:3" hidden="1" x14ac:dyDescent="0.5">
      <c r="A749" t="s">
        <v>1051</v>
      </c>
      <c r="B749" t="s">
        <v>1905</v>
      </c>
      <c r="C749" s="4" t="str">
        <f>IF(ISERROR(_xlfn.XMATCH(B749,newlist!B:B,0)),"not found","found")</f>
        <v>found</v>
      </c>
    </row>
    <row r="750" spans="1:3" hidden="1" x14ac:dyDescent="0.5">
      <c r="A750" t="s">
        <v>1051</v>
      </c>
      <c r="B750" t="s">
        <v>1097</v>
      </c>
      <c r="C750" s="4" t="str">
        <f>IF(ISERROR(_xlfn.XMATCH(B750,newlist!B:B,0)),"not found","found")</f>
        <v>found</v>
      </c>
    </row>
    <row r="751" spans="1:3" hidden="1" x14ac:dyDescent="0.5">
      <c r="A751" t="s">
        <v>1051</v>
      </c>
      <c r="B751" t="s">
        <v>1235</v>
      </c>
      <c r="C751" s="4" t="str">
        <f>IF(ISERROR(_xlfn.XMATCH(B751,newlist!B:B,0)),"not found","found")</f>
        <v>found</v>
      </c>
    </row>
    <row r="752" spans="1:3" hidden="1" x14ac:dyDescent="0.5">
      <c r="A752" t="s">
        <v>1051</v>
      </c>
      <c r="B752" t="s">
        <v>1269</v>
      </c>
      <c r="C752" s="4" t="str">
        <f>IF(ISERROR(_xlfn.XMATCH(B752,newlist!B:B,0)),"not found","found")</f>
        <v>found</v>
      </c>
    </row>
    <row r="753" spans="1:3" hidden="1" x14ac:dyDescent="0.5">
      <c r="A753" t="s">
        <v>1051</v>
      </c>
      <c r="B753" t="s">
        <v>2449</v>
      </c>
      <c r="C753" s="4" t="str">
        <f>IF(ISERROR(_xlfn.XMATCH(B753,newlist!B:B,0)),"not found","found")</f>
        <v>found</v>
      </c>
    </row>
    <row r="754" spans="1:3" hidden="1" x14ac:dyDescent="0.5">
      <c r="A754" t="s">
        <v>1051</v>
      </c>
      <c r="B754" t="s">
        <v>1147</v>
      </c>
      <c r="C754" s="4" t="str">
        <f>IF(ISERROR(_xlfn.XMATCH(B754,newlist!B:B,0)),"not found","found")</f>
        <v>found</v>
      </c>
    </row>
    <row r="755" spans="1:3" hidden="1" x14ac:dyDescent="0.5">
      <c r="A755" t="s">
        <v>1051</v>
      </c>
      <c r="B755" t="s">
        <v>1601</v>
      </c>
      <c r="C755" s="4" t="str">
        <f>IF(ISERROR(_xlfn.XMATCH(B755,newlist!B:B,0)),"not found","found")</f>
        <v>found</v>
      </c>
    </row>
    <row r="756" spans="1:3" hidden="1" x14ac:dyDescent="0.5">
      <c r="A756" t="s">
        <v>1051</v>
      </c>
      <c r="B756" t="s">
        <v>1589</v>
      </c>
      <c r="C756" s="4" t="str">
        <f>IF(ISERROR(_xlfn.XMATCH(B756,newlist!B:B,0)),"not found","found")</f>
        <v>found</v>
      </c>
    </row>
    <row r="757" spans="1:3" hidden="1" x14ac:dyDescent="0.5">
      <c r="A757" t="s">
        <v>1051</v>
      </c>
      <c r="B757" t="s">
        <v>1877</v>
      </c>
      <c r="C757" s="4" t="str">
        <f>IF(ISERROR(_xlfn.XMATCH(B757,newlist!B:B,0)),"not found","found")</f>
        <v>found</v>
      </c>
    </row>
    <row r="758" spans="1:3" hidden="1" x14ac:dyDescent="0.5">
      <c r="A758" t="s">
        <v>1051</v>
      </c>
      <c r="B758" t="s">
        <v>1713</v>
      </c>
      <c r="C758" s="4" t="str">
        <f>IF(ISERROR(_xlfn.XMATCH(B758,newlist!B:B,0)),"not found","found")</f>
        <v>found</v>
      </c>
    </row>
    <row r="759" spans="1:3" hidden="1" x14ac:dyDescent="0.5">
      <c r="A759" t="s">
        <v>1051</v>
      </c>
      <c r="B759" t="s">
        <v>1857</v>
      </c>
      <c r="C759" s="4" t="str">
        <f>IF(ISERROR(_xlfn.XMATCH(B759,newlist!B:B,0)),"not found","found")</f>
        <v>found</v>
      </c>
    </row>
    <row r="760" spans="1:3" hidden="1" x14ac:dyDescent="0.5">
      <c r="A760" t="s">
        <v>1051</v>
      </c>
      <c r="B760" t="s">
        <v>1057</v>
      </c>
      <c r="C760" s="4" t="str">
        <f>IF(ISERROR(_xlfn.XMATCH(B760,newlist!B:B,0)),"not found","found")</f>
        <v>found</v>
      </c>
    </row>
    <row r="761" spans="1:3" hidden="1" x14ac:dyDescent="0.5">
      <c r="A761" t="s">
        <v>1051</v>
      </c>
      <c r="B761" t="s">
        <v>1123</v>
      </c>
      <c r="C761" s="4" t="str">
        <f>IF(ISERROR(_xlfn.XMATCH(B761,newlist!B:B,0)),"not found","found")</f>
        <v>found</v>
      </c>
    </row>
    <row r="762" spans="1:3" hidden="1" x14ac:dyDescent="0.5">
      <c r="A762" t="s">
        <v>1051</v>
      </c>
      <c r="B762" t="s">
        <v>1513</v>
      </c>
      <c r="C762" s="4" t="str">
        <f>IF(ISERROR(_xlfn.XMATCH(B762,newlist!B:B,0)),"not found","found")</f>
        <v>found</v>
      </c>
    </row>
    <row r="763" spans="1:3" hidden="1" x14ac:dyDescent="0.5">
      <c r="A763" t="s">
        <v>1051</v>
      </c>
      <c r="B763" t="s">
        <v>1525</v>
      </c>
      <c r="C763" s="4" t="str">
        <f>IF(ISERROR(_xlfn.XMATCH(B763,newlist!B:B,0)),"not found","found")</f>
        <v>found</v>
      </c>
    </row>
    <row r="764" spans="1:3" hidden="1" x14ac:dyDescent="0.5">
      <c r="A764" t="s">
        <v>1051</v>
      </c>
      <c r="B764" t="s">
        <v>1663</v>
      </c>
      <c r="C764" s="4" t="str">
        <f>IF(ISERROR(_xlfn.XMATCH(B764,newlist!B:B,0)),"not found","found")</f>
        <v>found</v>
      </c>
    </row>
    <row r="765" spans="1:3" hidden="1" x14ac:dyDescent="0.5">
      <c r="A765" t="s">
        <v>1051</v>
      </c>
      <c r="B765" t="s">
        <v>1647</v>
      </c>
      <c r="C765" s="4" t="str">
        <f>IF(ISERROR(_xlfn.XMATCH(B765,newlist!B:B,0)),"not found","found")</f>
        <v>found</v>
      </c>
    </row>
    <row r="766" spans="1:3" hidden="1" x14ac:dyDescent="0.5">
      <c r="A766" t="s">
        <v>1051</v>
      </c>
      <c r="B766" t="s">
        <v>1353</v>
      </c>
      <c r="C766" s="4" t="str">
        <f>IF(ISERROR(_xlfn.XMATCH(B766,newlist!B:B,0)),"not found","found")</f>
        <v>found</v>
      </c>
    </row>
    <row r="767" spans="1:3" hidden="1" x14ac:dyDescent="0.5">
      <c r="A767" t="s">
        <v>1051</v>
      </c>
      <c r="B767" t="s">
        <v>1501</v>
      </c>
      <c r="C767" s="4" t="str">
        <f>IF(ISERROR(_xlfn.XMATCH(B767,newlist!B:B,0)),"not found","found")</f>
        <v>found</v>
      </c>
    </row>
    <row r="768" spans="1:3" hidden="1" x14ac:dyDescent="0.5">
      <c r="A768" t="s">
        <v>1051</v>
      </c>
      <c r="B768" t="s">
        <v>1267</v>
      </c>
      <c r="C768" s="4" t="str">
        <f>IF(ISERROR(_xlfn.XMATCH(B768,newlist!B:B,0)),"not found","found")</f>
        <v>found</v>
      </c>
    </row>
    <row r="769" spans="1:3" hidden="1" x14ac:dyDescent="0.5">
      <c r="A769" t="s">
        <v>1051</v>
      </c>
      <c r="B769" t="s">
        <v>1845</v>
      </c>
      <c r="C769" s="4" t="str">
        <f>IF(ISERROR(_xlfn.XMATCH(B769,newlist!B:B,0)),"not found","found")</f>
        <v>found</v>
      </c>
    </row>
    <row r="770" spans="1:3" hidden="1" x14ac:dyDescent="0.5">
      <c r="A770" t="s">
        <v>1051</v>
      </c>
      <c r="B770" t="s">
        <v>1599</v>
      </c>
      <c r="C770" s="4" t="str">
        <f>IF(ISERROR(_xlfn.XMATCH(B770,newlist!B:B,0)),"not found","found")</f>
        <v>found</v>
      </c>
    </row>
    <row r="771" spans="1:3" hidden="1" x14ac:dyDescent="0.5">
      <c r="A771" t="s">
        <v>1051</v>
      </c>
      <c r="B771" t="s">
        <v>2299</v>
      </c>
      <c r="C771" s="4" t="str">
        <f>IF(ISERROR(_xlfn.XMATCH(B771,newlist!B:B,0)),"not found","found")</f>
        <v>found</v>
      </c>
    </row>
    <row r="772" spans="1:3" hidden="1" x14ac:dyDescent="0.5">
      <c r="A772" t="s">
        <v>1051</v>
      </c>
      <c r="B772" t="s">
        <v>1449</v>
      </c>
      <c r="C772" s="4" t="str">
        <f>IF(ISERROR(_xlfn.XMATCH(B772,newlist!B:B,0)),"not found","found")</f>
        <v>found</v>
      </c>
    </row>
    <row r="773" spans="1:3" hidden="1" x14ac:dyDescent="0.5">
      <c r="A773" t="s">
        <v>1051</v>
      </c>
      <c r="B773" t="s">
        <v>2717</v>
      </c>
      <c r="C773" s="4" t="str">
        <f>IF(ISERROR(_xlfn.XMATCH(B773,newlist!B:B,0)),"not found","found")</f>
        <v>found</v>
      </c>
    </row>
    <row r="774" spans="1:3" hidden="1" x14ac:dyDescent="0.5">
      <c r="A774" t="s">
        <v>1051</v>
      </c>
      <c r="B774" t="s">
        <v>1551</v>
      </c>
      <c r="C774" s="4" t="str">
        <f>IF(ISERROR(_xlfn.XMATCH(B774,newlist!B:B,0)),"not found","found")</f>
        <v>found</v>
      </c>
    </row>
    <row r="775" spans="1:3" hidden="1" x14ac:dyDescent="0.5">
      <c r="A775" t="s">
        <v>1051</v>
      </c>
      <c r="B775" t="s">
        <v>1495</v>
      </c>
      <c r="C775" s="4" t="str">
        <f>IF(ISERROR(_xlfn.XMATCH(B775,newlist!B:B,0)),"not found","found")</f>
        <v>found</v>
      </c>
    </row>
    <row r="776" spans="1:3" hidden="1" x14ac:dyDescent="0.5">
      <c r="A776" t="s">
        <v>1051</v>
      </c>
      <c r="B776" t="s">
        <v>1253</v>
      </c>
      <c r="C776" s="4" t="str">
        <f>IF(ISERROR(_xlfn.XMATCH(B776,newlist!B:B,0)),"not found","found")</f>
        <v>found</v>
      </c>
    </row>
    <row r="777" spans="1:3" hidden="1" x14ac:dyDescent="0.5">
      <c r="A777" t="s">
        <v>1051</v>
      </c>
      <c r="B777" t="s">
        <v>1425</v>
      </c>
      <c r="C777" s="4" t="str">
        <f>IF(ISERROR(_xlfn.XMATCH(B777,newlist!B:B,0)),"not found","found")</f>
        <v>found</v>
      </c>
    </row>
    <row r="778" spans="1:3" hidden="1" x14ac:dyDescent="0.5">
      <c r="A778" t="s">
        <v>1051</v>
      </c>
      <c r="B778" t="s">
        <v>1283</v>
      </c>
      <c r="C778" s="4" t="str">
        <f>IF(ISERROR(_xlfn.XMATCH(B778,newlist!B:B,0)),"not found","found")</f>
        <v>found</v>
      </c>
    </row>
    <row r="779" spans="1:3" hidden="1" x14ac:dyDescent="0.5">
      <c r="A779" t="s">
        <v>1051</v>
      </c>
      <c r="B779" t="s">
        <v>1107</v>
      </c>
      <c r="C779" s="4" t="str">
        <f>IF(ISERROR(_xlfn.XMATCH(B779,newlist!B:B,0)),"not found","found")</f>
        <v>found</v>
      </c>
    </row>
    <row r="780" spans="1:3" hidden="1" x14ac:dyDescent="0.5">
      <c r="A780" t="s">
        <v>1051</v>
      </c>
      <c r="B780" t="s">
        <v>2215</v>
      </c>
      <c r="C780" s="4" t="str">
        <f>IF(ISERROR(_xlfn.XMATCH(B780,newlist!B:B,0)),"not found","found")</f>
        <v>found</v>
      </c>
    </row>
    <row r="781" spans="1:3" hidden="1" x14ac:dyDescent="0.5">
      <c r="A781" t="s">
        <v>1051</v>
      </c>
      <c r="B781" t="s">
        <v>1063</v>
      </c>
      <c r="C781" s="4" t="str">
        <f>IF(ISERROR(_xlfn.XMATCH(B781,newlist!B:B,0)),"not found","found")</f>
        <v>found</v>
      </c>
    </row>
    <row r="782" spans="1:3" hidden="1" x14ac:dyDescent="0.5">
      <c r="A782" t="s">
        <v>1051</v>
      </c>
      <c r="B782" t="s">
        <v>1247</v>
      </c>
      <c r="C782" s="4" t="str">
        <f>IF(ISERROR(_xlfn.XMATCH(B782,newlist!B:B,0)),"not found","found")</f>
        <v>found</v>
      </c>
    </row>
    <row r="783" spans="1:3" hidden="1" x14ac:dyDescent="0.5">
      <c r="A783" t="s">
        <v>1051</v>
      </c>
      <c r="B783" t="s">
        <v>1177</v>
      </c>
      <c r="C783" s="4" t="str">
        <f>IF(ISERROR(_xlfn.XMATCH(B783,newlist!B:B,0)),"not found","found")</f>
        <v>found</v>
      </c>
    </row>
    <row r="784" spans="1:3" hidden="1" x14ac:dyDescent="0.5">
      <c r="A784" t="s">
        <v>1051</v>
      </c>
      <c r="B784" t="s">
        <v>1439</v>
      </c>
      <c r="C784" s="4" t="str">
        <f>IF(ISERROR(_xlfn.XMATCH(B784,newlist!B:B,0)),"not found","found")</f>
        <v>found</v>
      </c>
    </row>
    <row r="785" spans="1:3" hidden="1" x14ac:dyDescent="0.5">
      <c r="A785" t="s">
        <v>1051</v>
      </c>
      <c r="B785" t="s">
        <v>1953</v>
      </c>
      <c r="C785" s="4" t="str">
        <f>IF(ISERROR(_xlfn.XMATCH(B785,newlist!B:B,0)),"not found","found")</f>
        <v>found</v>
      </c>
    </row>
    <row r="786" spans="1:3" hidden="1" x14ac:dyDescent="0.5">
      <c r="A786" t="s">
        <v>1051</v>
      </c>
      <c r="B786" t="s">
        <v>1171</v>
      </c>
      <c r="C786" s="4" t="str">
        <f>IF(ISERROR(_xlfn.XMATCH(B786,newlist!B:B,0)),"not found","found")</f>
        <v>found</v>
      </c>
    </row>
    <row r="787" spans="1:3" hidden="1" x14ac:dyDescent="0.5">
      <c r="A787" t="s">
        <v>1051</v>
      </c>
      <c r="B787" t="s">
        <v>1227</v>
      </c>
      <c r="C787" s="4" t="str">
        <f>IF(ISERROR(_xlfn.XMATCH(B787,newlist!B:B,0)),"not found","found")</f>
        <v>found</v>
      </c>
    </row>
    <row r="788" spans="1:3" hidden="1" x14ac:dyDescent="0.5">
      <c r="A788" t="s">
        <v>1051</v>
      </c>
      <c r="B788" t="s">
        <v>2093</v>
      </c>
      <c r="C788" s="4" t="str">
        <f>IF(ISERROR(_xlfn.XMATCH(B788,newlist!B:B,0)),"not found","found")</f>
        <v>found</v>
      </c>
    </row>
    <row r="789" spans="1:3" hidden="1" x14ac:dyDescent="0.5">
      <c r="A789" t="s">
        <v>1051</v>
      </c>
      <c r="B789" t="s">
        <v>1881</v>
      </c>
      <c r="C789" s="4" t="str">
        <f>IF(ISERROR(_xlfn.XMATCH(B789,newlist!B:B,0)),"not found","found")</f>
        <v>found</v>
      </c>
    </row>
    <row r="790" spans="1:3" hidden="1" x14ac:dyDescent="0.5">
      <c r="A790" t="s">
        <v>1051</v>
      </c>
      <c r="B790" t="s">
        <v>1277</v>
      </c>
      <c r="C790" s="4" t="str">
        <f>IF(ISERROR(_xlfn.XMATCH(B790,newlist!B:B,0)),"not found","found")</f>
        <v>found</v>
      </c>
    </row>
    <row r="791" spans="1:3" hidden="1" x14ac:dyDescent="0.5">
      <c r="A791" t="s">
        <v>1051</v>
      </c>
      <c r="B791" t="s">
        <v>1441</v>
      </c>
      <c r="C791" s="4" t="str">
        <f>IF(ISERROR(_xlfn.XMATCH(B791,newlist!B:B,0)),"not found","found")</f>
        <v>found</v>
      </c>
    </row>
    <row r="792" spans="1:3" hidden="1" x14ac:dyDescent="0.5">
      <c r="A792" t="s">
        <v>1051</v>
      </c>
      <c r="B792" t="s">
        <v>1187</v>
      </c>
      <c r="C792" s="4" t="str">
        <f>IF(ISERROR(_xlfn.XMATCH(B792,newlist!B:B,0)),"not found","found")</f>
        <v>found</v>
      </c>
    </row>
    <row r="793" spans="1:3" hidden="1" x14ac:dyDescent="0.5">
      <c r="A793" t="s">
        <v>1051</v>
      </c>
      <c r="B793" t="s">
        <v>1129</v>
      </c>
      <c r="C793" s="4" t="str">
        <f>IF(ISERROR(_xlfn.XMATCH(B793,newlist!B:B,0)),"not found","found")</f>
        <v>found</v>
      </c>
    </row>
    <row r="794" spans="1:3" hidden="1" x14ac:dyDescent="0.5">
      <c r="A794" t="s">
        <v>1051</v>
      </c>
      <c r="B794" t="s">
        <v>1743</v>
      </c>
      <c r="C794" s="4" t="str">
        <f>IF(ISERROR(_xlfn.XMATCH(B794,newlist!B:B,0)),"not found","found")</f>
        <v>found</v>
      </c>
    </row>
    <row r="795" spans="1:3" hidden="1" x14ac:dyDescent="0.5">
      <c r="A795" t="s">
        <v>1051</v>
      </c>
      <c r="B795" t="s">
        <v>1411</v>
      </c>
      <c r="C795" s="4" t="str">
        <f>IF(ISERROR(_xlfn.XMATCH(B795,newlist!B:B,0)),"not found","found")</f>
        <v>found</v>
      </c>
    </row>
    <row r="796" spans="1:3" hidden="1" x14ac:dyDescent="0.5">
      <c r="A796" t="s">
        <v>1051</v>
      </c>
      <c r="B796" t="s">
        <v>1773</v>
      </c>
      <c r="C796" s="4" t="str">
        <f>IF(ISERROR(_xlfn.XMATCH(B796,newlist!B:B,0)),"not found","found")</f>
        <v>found</v>
      </c>
    </row>
    <row r="797" spans="1:3" hidden="1" x14ac:dyDescent="0.5">
      <c r="A797" t="s">
        <v>1051</v>
      </c>
      <c r="B797" t="s">
        <v>1629</v>
      </c>
      <c r="C797" s="4" t="str">
        <f>IF(ISERROR(_xlfn.XMATCH(B797,newlist!B:B,0)),"not found","found")</f>
        <v>found</v>
      </c>
    </row>
    <row r="798" spans="1:3" hidden="1" x14ac:dyDescent="0.5">
      <c r="A798" t="s">
        <v>1051</v>
      </c>
      <c r="B798" t="s">
        <v>1431</v>
      </c>
      <c r="C798" s="4" t="str">
        <f>IF(ISERROR(_xlfn.XMATCH(B798,newlist!B:B,0)),"not found","found")</f>
        <v>found</v>
      </c>
    </row>
    <row r="799" spans="1:3" hidden="1" x14ac:dyDescent="0.5">
      <c r="A799" t="s">
        <v>1051</v>
      </c>
      <c r="B799" t="s">
        <v>1161</v>
      </c>
      <c r="C799" s="4" t="str">
        <f>IF(ISERROR(_xlfn.XMATCH(B799,newlist!B:B,0)),"not found","found")</f>
        <v>found</v>
      </c>
    </row>
    <row r="800" spans="1:3" hidden="1" x14ac:dyDescent="0.5">
      <c r="A800" t="s">
        <v>1051</v>
      </c>
      <c r="B800" t="s">
        <v>2235</v>
      </c>
      <c r="C800" s="4" t="str">
        <f>IF(ISERROR(_xlfn.XMATCH(B800,newlist!B:B,0)),"not found","found")</f>
        <v>found</v>
      </c>
    </row>
    <row r="801" spans="1:3" hidden="1" x14ac:dyDescent="0.5">
      <c r="A801" t="s">
        <v>1051</v>
      </c>
      <c r="B801" t="s">
        <v>1117</v>
      </c>
      <c r="C801" s="4" t="str">
        <f>IF(ISERROR(_xlfn.XMATCH(B801,newlist!B:B,0)),"not found","found")</f>
        <v>found</v>
      </c>
    </row>
    <row r="802" spans="1:3" hidden="1" x14ac:dyDescent="0.5">
      <c r="A802" t="s">
        <v>1051</v>
      </c>
      <c r="B802" t="s">
        <v>1301</v>
      </c>
      <c r="C802" s="4" t="str">
        <f>IF(ISERROR(_xlfn.XMATCH(B802,newlist!B:B,0)),"not found","found")</f>
        <v>found</v>
      </c>
    </row>
    <row r="803" spans="1:3" hidden="1" x14ac:dyDescent="0.5">
      <c r="A803" t="s">
        <v>1051</v>
      </c>
      <c r="B803" t="s">
        <v>1191</v>
      </c>
      <c r="C803" s="4" t="str">
        <f>IF(ISERROR(_xlfn.XMATCH(B803,newlist!B:B,0)),"not found","found")</f>
        <v>found</v>
      </c>
    </row>
    <row r="804" spans="1:3" hidden="1" x14ac:dyDescent="0.5">
      <c r="A804" t="s">
        <v>1051</v>
      </c>
      <c r="B804" t="s">
        <v>1897</v>
      </c>
      <c r="C804" s="4" t="str">
        <f>IF(ISERROR(_xlfn.XMATCH(B804,newlist!B:B,0)),"not found","found")</f>
        <v>found</v>
      </c>
    </row>
    <row r="805" spans="1:3" hidden="1" x14ac:dyDescent="0.5">
      <c r="A805" t="s">
        <v>1051</v>
      </c>
      <c r="B805" t="s">
        <v>1817</v>
      </c>
      <c r="C805" s="4" t="str">
        <f>IF(ISERROR(_xlfn.XMATCH(B805,newlist!B:B,0)),"not found","found")</f>
        <v>found</v>
      </c>
    </row>
    <row r="806" spans="1:3" hidden="1" x14ac:dyDescent="0.5">
      <c r="A806" t="s">
        <v>1051</v>
      </c>
      <c r="B806" t="s">
        <v>1207</v>
      </c>
      <c r="C806" s="4" t="str">
        <f>IF(ISERROR(_xlfn.XMATCH(B806,newlist!B:B,0)),"not found","found")</f>
        <v>found</v>
      </c>
    </row>
    <row r="807" spans="1:3" hidden="1" x14ac:dyDescent="0.5">
      <c r="A807" t="s">
        <v>1051</v>
      </c>
      <c r="B807" t="s">
        <v>1985</v>
      </c>
      <c r="C807" s="4" t="str">
        <f>IF(ISERROR(_xlfn.XMATCH(B807,newlist!B:B,0)),"not found","found")</f>
        <v>found</v>
      </c>
    </row>
    <row r="808" spans="1:3" hidden="1" x14ac:dyDescent="0.5">
      <c r="A808" t="s">
        <v>1051</v>
      </c>
      <c r="B808" t="s">
        <v>1941</v>
      </c>
      <c r="C808" s="4" t="str">
        <f>IF(ISERROR(_xlfn.XMATCH(B808,newlist!B:B,0)),"not found","found")</f>
        <v>found</v>
      </c>
    </row>
    <row r="809" spans="1:3" hidden="1" x14ac:dyDescent="0.5">
      <c r="A809" t="s">
        <v>1051</v>
      </c>
      <c r="B809" t="s">
        <v>1563</v>
      </c>
      <c r="C809" s="4" t="str">
        <f>IF(ISERROR(_xlfn.XMATCH(B809,newlist!B:B,0)),"not found","found")</f>
        <v>found</v>
      </c>
    </row>
    <row r="810" spans="1:3" hidden="1" x14ac:dyDescent="0.5">
      <c r="A810" t="s">
        <v>1051</v>
      </c>
      <c r="B810" t="s">
        <v>1363</v>
      </c>
      <c r="C810" s="4" t="str">
        <f>IF(ISERROR(_xlfn.XMATCH(B810,newlist!B:B,0)),"not found","found")</f>
        <v>found</v>
      </c>
    </row>
    <row r="811" spans="1:3" hidden="1" x14ac:dyDescent="0.5">
      <c r="A811" t="s">
        <v>1051</v>
      </c>
      <c r="B811" t="s">
        <v>1971</v>
      </c>
      <c r="C811" s="4" t="str">
        <f>IF(ISERROR(_xlfn.XMATCH(B811,newlist!B:B,0)),"not found","found")</f>
        <v>found</v>
      </c>
    </row>
    <row r="812" spans="1:3" hidden="1" x14ac:dyDescent="0.5">
      <c r="A812" t="s">
        <v>1051</v>
      </c>
      <c r="B812" t="s">
        <v>1317</v>
      </c>
      <c r="C812" s="4" t="str">
        <f>IF(ISERROR(_xlfn.XMATCH(B812,newlist!B:B,0)),"not found","found")</f>
        <v>found</v>
      </c>
    </row>
    <row r="813" spans="1:3" hidden="1" x14ac:dyDescent="0.5">
      <c r="A813" t="s">
        <v>1051</v>
      </c>
      <c r="B813" t="s">
        <v>1587</v>
      </c>
      <c r="C813" s="4" t="str">
        <f>IF(ISERROR(_xlfn.XMATCH(B813,newlist!B:B,0)),"not found","found")</f>
        <v>found</v>
      </c>
    </row>
    <row r="814" spans="1:3" hidden="1" x14ac:dyDescent="0.5">
      <c r="A814" t="s">
        <v>1051</v>
      </c>
      <c r="B814" t="s">
        <v>1245</v>
      </c>
      <c r="C814" s="4" t="str">
        <f>IF(ISERROR(_xlfn.XMATCH(B814,newlist!B:B,0)),"not found","found")</f>
        <v>found</v>
      </c>
    </row>
    <row r="815" spans="1:3" hidden="1" x14ac:dyDescent="0.5">
      <c r="A815" t="s">
        <v>1051</v>
      </c>
      <c r="B815" t="s">
        <v>1213</v>
      </c>
      <c r="C815" s="4" t="str">
        <f>IF(ISERROR(_xlfn.XMATCH(B815,newlist!B:B,0)),"not found","found")</f>
        <v>found</v>
      </c>
    </row>
    <row r="816" spans="1:3" hidden="1" x14ac:dyDescent="0.5">
      <c r="A816" t="s">
        <v>1051</v>
      </c>
      <c r="B816" t="s">
        <v>2049</v>
      </c>
      <c r="C816" s="4" t="str">
        <f>IF(ISERROR(_xlfn.XMATCH(B816,newlist!B:B,0)),"not found","found")</f>
        <v>found</v>
      </c>
    </row>
    <row r="817" spans="1:3" hidden="1" x14ac:dyDescent="0.5">
      <c r="A817" t="s">
        <v>1051</v>
      </c>
      <c r="B817" t="s">
        <v>2099</v>
      </c>
      <c r="C817" s="4" t="str">
        <f>IF(ISERROR(_xlfn.XMATCH(B817,newlist!B:B,0)),"not found","found")</f>
        <v>found</v>
      </c>
    </row>
    <row r="818" spans="1:3" hidden="1" x14ac:dyDescent="0.5">
      <c r="A818" t="s">
        <v>1051</v>
      </c>
      <c r="B818" t="s">
        <v>1319</v>
      </c>
      <c r="C818" s="4" t="str">
        <f>IF(ISERROR(_xlfn.XMATCH(B818,newlist!B:B,0)),"not found","found")</f>
        <v>found</v>
      </c>
    </row>
    <row r="819" spans="1:3" hidden="1" x14ac:dyDescent="0.5">
      <c r="A819" t="s">
        <v>1051</v>
      </c>
      <c r="B819" t="s">
        <v>1903</v>
      </c>
      <c r="C819" s="4" t="str">
        <f>IF(ISERROR(_xlfn.XMATCH(B819,newlist!B:B,0)),"not found","found")</f>
        <v>found</v>
      </c>
    </row>
    <row r="820" spans="1:3" hidden="1" x14ac:dyDescent="0.5">
      <c r="A820" t="s">
        <v>1051</v>
      </c>
      <c r="B820" t="s">
        <v>1825</v>
      </c>
      <c r="C820" s="4" t="str">
        <f>IF(ISERROR(_xlfn.XMATCH(B820,newlist!B:B,0)),"not found","found")</f>
        <v>found</v>
      </c>
    </row>
    <row r="821" spans="1:3" hidden="1" x14ac:dyDescent="0.5">
      <c r="A821" t="s">
        <v>1051</v>
      </c>
      <c r="B821" t="s">
        <v>1105</v>
      </c>
      <c r="C821" s="4" t="str">
        <f>IF(ISERROR(_xlfn.XMATCH(B821,newlist!B:B,0)),"not found","found")</f>
        <v>found</v>
      </c>
    </row>
    <row r="822" spans="1:3" hidden="1" x14ac:dyDescent="0.5">
      <c r="A822" t="s">
        <v>1051</v>
      </c>
      <c r="B822" t="s">
        <v>1453</v>
      </c>
      <c r="C822" s="4" t="str">
        <f>IF(ISERROR(_xlfn.XMATCH(B822,newlist!B:B,0)),"not found","found")</f>
        <v>found</v>
      </c>
    </row>
    <row r="823" spans="1:3" hidden="1" x14ac:dyDescent="0.5">
      <c r="A823" t="s">
        <v>1051</v>
      </c>
      <c r="B823" t="s">
        <v>1655</v>
      </c>
      <c r="C823" s="4" t="str">
        <f>IF(ISERROR(_xlfn.XMATCH(B823,newlist!B:B,0)),"not found","found")</f>
        <v>found</v>
      </c>
    </row>
    <row r="824" spans="1:3" hidden="1" x14ac:dyDescent="0.5">
      <c r="A824" t="s">
        <v>1051</v>
      </c>
      <c r="B824" t="s">
        <v>2671</v>
      </c>
      <c r="C824" s="4" t="str">
        <f>IF(ISERROR(_xlfn.XMATCH(B824,newlist!B:B,0)),"not found","found")</f>
        <v>found</v>
      </c>
    </row>
    <row r="825" spans="1:3" hidden="1" x14ac:dyDescent="0.5">
      <c r="A825" t="s">
        <v>1051</v>
      </c>
      <c r="B825" t="s">
        <v>1383</v>
      </c>
      <c r="C825" s="4" t="str">
        <f>IF(ISERROR(_xlfn.XMATCH(B825,newlist!B:B,0)),"not found","found")</f>
        <v>found</v>
      </c>
    </row>
    <row r="826" spans="1:3" hidden="1" x14ac:dyDescent="0.5">
      <c r="A826" t="s">
        <v>1051</v>
      </c>
      <c r="B826" t="s">
        <v>1059</v>
      </c>
      <c r="C826" s="4" t="str">
        <f>IF(ISERROR(_xlfn.XMATCH(B826,newlist!B:B,0)),"not found","found")</f>
        <v>found</v>
      </c>
    </row>
    <row r="827" spans="1:3" hidden="1" x14ac:dyDescent="0.5">
      <c r="A827" t="s">
        <v>1051</v>
      </c>
      <c r="B827" t="s">
        <v>2177</v>
      </c>
      <c r="C827" s="4" t="str">
        <f>IF(ISERROR(_xlfn.XMATCH(B827,newlist!B:B,0)),"not found","found")</f>
        <v>found</v>
      </c>
    </row>
    <row r="828" spans="1:3" hidden="1" x14ac:dyDescent="0.5">
      <c r="A828" t="s">
        <v>1051</v>
      </c>
      <c r="B828" t="s">
        <v>1185</v>
      </c>
      <c r="C828" s="4" t="str">
        <f>IF(ISERROR(_xlfn.XMATCH(B828,newlist!B:B,0)),"not found","found")</f>
        <v>found</v>
      </c>
    </row>
    <row r="829" spans="1:3" hidden="1" x14ac:dyDescent="0.5">
      <c r="A829" t="s">
        <v>1051</v>
      </c>
      <c r="B829" t="s">
        <v>1169</v>
      </c>
      <c r="C829" s="4" t="str">
        <f>IF(ISERROR(_xlfn.XMATCH(B829,newlist!B:B,0)),"not found","found")</f>
        <v>found</v>
      </c>
    </row>
    <row r="830" spans="1:3" hidden="1" x14ac:dyDescent="0.5">
      <c r="A830" t="s">
        <v>1051</v>
      </c>
      <c r="B830" t="s">
        <v>1189</v>
      </c>
      <c r="C830" s="4" t="str">
        <f>IF(ISERROR(_xlfn.XMATCH(B830,newlist!B:B,0)),"not found","found")</f>
        <v>found</v>
      </c>
    </row>
    <row r="831" spans="1:3" hidden="1" x14ac:dyDescent="0.5">
      <c r="A831" t="s">
        <v>1051</v>
      </c>
      <c r="B831" t="s">
        <v>1193</v>
      </c>
      <c r="C831" s="4" t="str">
        <f>IF(ISERROR(_xlfn.XMATCH(B831,newlist!B:B,0)),"not found","found")</f>
        <v>found</v>
      </c>
    </row>
    <row r="832" spans="1:3" hidden="1" x14ac:dyDescent="0.5">
      <c r="A832" t="s">
        <v>1051</v>
      </c>
      <c r="B832" t="s">
        <v>1961</v>
      </c>
      <c r="C832" s="4" t="str">
        <f>IF(ISERROR(_xlfn.XMATCH(B832,newlist!B:B,0)),"not found","found")</f>
        <v>found</v>
      </c>
    </row>
    <row r="833" spans="1:3" hidden="1" x14ac:dyDescent="0.5">
      <c r="A833" t="s">
        <v>1051</v>
      </c>
      <c r="B833" t="s">
        <v>1937</v>
      </c>
      <c r="C833" s="4" t="str">
        <f>IF(ISERROR(_xlfn.XMATCH(B833,newlist!B:B,0)),"not found","found")</f>
        <v>found</v>
      </c>
    </row>
    <row r="834" spans="1:3" hidden="1" x14ac:dyDescent="0.5">
      <c r="A834" t="s">
        <v>1051</v>
      </c>
      <c r="B834" t="s">
        <v>1211</v>
      </c>
      <c r="C834" s="4" t="str">
        <f>IF(ISERROR(_xlfn.XMATCH(B834,newlist!B:B,0)),"not found","found")</f>
        <v>found</v>
      </c>
    </row>
    <row r="835" spans="1:3" hidden="1" x14ac:dyDescent="0.5">
      <c r="A835" t="s">
        <v>1051</v>
      </c>
      <c r="B835" t="s">
        <v>2091</v>
      </c>
      <c r="C835" s="4" t="str">
        <f>IF(ISERROR(_xlfn.XMATCH(B835,newlist!B:B,0)),"not found","found")</f>
        <v>found</v>
      </c>
    </row>
    <row r="836" spans="1:3" hidden="1" x14ac:dyDescent="0.5">
      <c r="A836" t="s">
        <v>1051</v>
      </c>
      <c r="B836" t="s">
        <v>2269</v>
      </c>
      <c r="C836" s="4" t="str">
        <f>IF(ISERROR(_xlfn.XMATCH(B836,newlist!B:B,0)),"not found","found")</f>
        <v>found</v>
      </c>
    </row>
    <row r="837" spans="1:3" hidden="1" x14ac:dyDescent="0.5">
      <c r="A837" t="s">
        <v>1051</v>
      </c>
      <c r="B837" t="s">
        <v>1239</v>
      </c>
      <c r="C837" s="4" t="str">
        <f>IF(ISERROR(_xlfn.XMATCH(B837,newlist!B:B,0)),"not found","found")</f>
        <v>found</v>
      </c>
    </row>
    <row r="838" spans="1:3" hidden="1" x14ac:dyDescent="0.5">
      <c r="A838" t="s">
        <v>1051</v>
      </c>
      <c r="B838" t="s">
        <v>1443</v>
      </c>
      <c r="C838" s="4" t="str">
        <f>IF(ISERROR(_xlfn.XMATCH(B838,newlist!B:B,0)),"not found","found")</f>
        <v>found</v>
      </c>
    </row>
    <row r="839" spans="1:3" hidden="1" x14ac:dyDescent="0.5">
      <c r="A839" t="s">
        <v>1051</v>
      </c>
      <c r="B839" t="s">
        <v>1153</v>
      </c>
      <c r="C839" s="4" t="str">
        <f>IF(ISERROR(_xlfn.XMATCH(B839,newlist!B:B,0)),"not found","found")</f>
        <v>found</v>
      </c>
    </row>
    <row r="840" spans="1:3" hidden="1" x14ac:dyDescent="0.5">
      <c r="A840" t="s">
        <v>1051</v>
      </c>
      <c r="B840" t="s">
        <v>1201</v>
      </c>
      <c r="C840" s="4" t="str">
        <f>IF(ISERROR(_xlfn.XMATCH(B840,newlist!B:B,0)),"not found","found")</f>
        <v>found</v>
      </c>
    </row>
    <row r="841" spans="1:3" hidden="1" x14ac:dyDescent="0.5">
      <c r="A841" t="s">
        <v>1051</v>
      </c>
      <c r="B841" t="s">
        <v>1127</v>
      </c>
      <c r="C841" s="4" t="str">
        <f>IF(ISERROR(_xlfn.XMATCH(B841,newlist!B:B,0)),"not found","found")</f>
        <v>found</v>
      </c>
    </row>
    <row r="842" spans="1:3" hidden="1" x14ac:dyDescent="0.5">
      <c r="A842" t="s">
        <v>1051</v>
      </c>
      <c r="B842" t="s">
        <v>1303</v>
      </c>
      <c r="C842" s="4" t="str">
        <f>IF(ISERROR(_xlfn.XMATCH(B842,newlist!B:B,0)),"not found","found")</f>
        <v>found</v>
      </c>
    </row>
    <row r="843" spans="1:3" hidden="1" x14ac:dyDescent="0.5">
      <c r="A843" t="s">
        <v>1051</v>
      </c>
      <c r="B843" t="s">
        <v>1533</v>
      </c>
      <c r="C843" s="4" t="str">
        <f>IF(ISERROR(_xlfn.XMATCH(B843,newlist!B:B,0)),"not found","found")</f>
        <v>found</v>
      </c>
    </row>
    <row r="844" spans="1:3" hidden="1" x14ac:dyDescent="0.5">
      <c r="A844" t="s">
        <v>1051</v>
      </c>
      <c r="B844" t="s">
        <v>1835</v>
      </c>
      <c r="C844" s="4" t="str">
        <f>IF(ISERROR(_xlfn.XMATCH(B844,newlist!B:B,0)),"not found","found")</f>
        <v>found</v>
      </c>
    </row>
    <row r="845" spans="1:3" hidden="1" x14ac:dyDescent="0.5">
      <c r="A845" t="s">
        <v>1051</v>
      </c>
      <c r="B845" t="s">
        <v>2037</v>
      </c>
      <c r="C845" s="4" t="str">
        <f>IF(ISERROR(_xlfn.XMATCH(B845,newlist!B:B,0)),"not found","found")</f>
        <v>found</v>
      </c>
    </row>
    <row r="846" spans="1:3" hidden="1" x14ac:dyDescent="0.5">
      <c r="A846" t="s">
        <v>1051</v>
      </c>
      <c r="B846" t="s">
        <v>1865</v>
      </c>
      <c r="C846" s="4" t="str">
        <f>IF(ISERROR(_xlfn.XMATCH(B846,newlist!B:B,0)),"not found","found")</f>
        <v>found</v>
      </c>
    </row>
    <row r="847" spans="1:3" hidden="1" x14ac:dyDescent="0.5">
      <c r="A847" t="s">
        <v>1051</v>
      </c>
      <c r="B847" t="s">
        <v>1137</v>
      </c>
      <c r="C847" s="4" t="str">
        <f>IF(ISERROR(_xlfn.XMATCH(B847,newlist!B:B,0)),"not found","found")</f>
        <v>found</v>
      </c>
    </row>
    <row r="848" spans="1:3" hidden="1" x14ac:dyDescent="0.5">
      <c r="A848" t="s">
        <v>1051</v>
      </c>
      <c r="B848" t="s">
        <v>1423</v>
      </c>
      <c r="C848" s="4" t="str">
        <f>IF(ISERROR(_xlfn.XMATCH(B848,newlist!B:B,0)),"not found","found")</f>
        <v>found</v>
      </c>
    </row>
    <row r="849" spans="1:3" hidden="1" x14ac:dyDescent="0.5">
      <c r="A849" t="s">
        <v>1051</v>
      </c>
      <c r="B849" t="s">
        <v>1313</v>
      </c>
      <c r="C849" s="4" t="str">
        <f>IF(ISERROR(_xlfn.XMATCH(B849,newlist!B:B,0)),"not found","found")</f>
        <v>found</v>
      </c>
    </row>
    <row r="850" spans="1:3" hidden="1" x14ac:dyDescent="0.5">
      <c r="A850" t="s">
        <v>1051</v>
      </c>
      <c r="B850" t="s">
        <v>1415</v>
      </c>
      <c r="C850" s="4" t="str">
        <f>IF(ISERROR(_xlfn.XMATCH(B850,newlist!B:B,0)),"not found","found")</f>
        <v>found</v>
      </c>
    </row>
    <row r="851" spans="1:3" x14ac:dyDescent="0.5">
      <c r="A851" t="s">
        <v>1051</v>
      </c>
      <c r="B851" t="s">
        <v>2790</v>
      </c>
      <c r="C851" s="4" t="str">
        <f>IF(ISERROR(_xlfn.XMATCH(B851,newlist!B:B,0)),"not found","found")</f>
        <v>not found</v>
      </c>
    </row>
    <row r="852" spans="1:3" x14ac:dyDescent="0.5">
      <c r="A852" t="s">
        <v>1051</v>
      </c>
      <c r="B852" t="s">
        <v>2791</v>
      </c>
      <c r="C852" s="4" t="str">
        <f>IF(ISERROR(_xlfn.XMATCH(B852,newlist!B:B,0)),"not found","found")</f>
        <v>not found</v>
      </c>
    </row>
    <row r="853" spans="1:3" x14ac:dyDescent="0.5">
      <c r="A853" t="s">
        <v>1051</v>
      </c>
      <c r="B853" t="s">
        <v>2792</v>
      </c>
      <c r="C853" s="4" t="str">
        <f>IF(ISERROR(_xlfn.XMATCH(B853,newlist!B:B,0)),"not found","found")</f>
        <v>not found</v>
      </c>
    </row>
    <row r="854" spans="1:3" x14ac:dyDescent="0.5">
      <c r="A854" t="s">
        <v>1051</v>
      </c>
      <c r="B854" t="s">
        <v>2793</v>
      </c>
      <c r="C854" s="4" t="str">
        <f>IF(ISERROR(_xlfn.XMATCH(B854,newlist!B:B,0)),"not found","found")</f>
        <v>not found</v>
      </c>
    </row>
    <row r="855" spans="1:3" x14ac:dyDescent="0.5">
      <c r="A855" t="s">
        <v>1051</v>
      </c>
      <c r="B855" t="s">
        <v>2794</v>
      </c>
      <c r="C855" s="4" t="str">
        <f>IF(ISERROR(_xlfn.XMATCH(B855,newlist!B:B,0)),"not found","found")</f>
        <v>not found</v>
      </c>
    </row>
    <row r="856" spans="1:3" x14ac:dyDescent="0.5">
      <c r="A856" t="s">
        <v>1051</v>
      </c>
      <c r="B856" t="s">
        <v>2795</v>
      </c>
      <c r="C856" s="4" t="str">
        <f>IF(ISERROR(_xlfn.XMATCH(B856,newlist!B:B,0)),"not found","found")</f>
        <v>not found</v>
      </c>
    </row>
    <row r="857" spans="1:3" x14ac:dyDescent="0.5">
      <c r="A857" t="s">
        <v>1051</v>
      </c>
      <c r="B857" t="s">
        <v>2796</v>
      </c>
      <c r="C857" s="4" t="str">
        <f>IF(ISERROR(_xlfn.XMATCH(B857,newlist!B:B,0)),"not found","found")</f>
        <v>not found</v>
      </c>
    </row>
    <row r="858" spans="1:3" x14ac:dyDescent="0.5">
      <c r="A858" t="s">
        <v>1051</v>
      </c>
      <c r="B858" t="s">
        <v>2797</v>
      </c>
      <c r="C858" s="4" t="str">
        <f>IF(ISERROR(_xlfn.XMATCH(B858,newlist!B:B,0)),"not found","found")</f>
        <v>not found</v>
      </c>
    </row>
    <row r="859" spans="1:3" x14ac:dyDescent="0.5">
      <c r="A859" t="s">
        <v>1051</v>
      </c>
      <c r="B859" t="s">
        <v>2798</v>
      </c>
      <c r="C859" s="4" t="str">
        <f>IF(ISERROR(_xlfn.XMATCH(B859,newlist!B:B,0)),"not found","found")</f>
        <v>not found</v>
      </c>
    </row>
    <row r="860" spans="1:3" x14ac:dyDescent="0.5">
      <c r="A860" t="s">
        <v>1051</v>
      </c>
      <c r="B860" t="s">
        <v>2799</v>
      </c>
      <c r="C860" s="4" t="str">
        <f>IF(ISERROR(_xlfn.XMATCH(B860,newlist!B:B,0)),"not found","found")</f>
        <v>not found</v>
      </c>
    </row>
    <row r="861" spans="1:3" x14ac:dyDescent="0.5">
      <c r="A861" t="s">
        <v>1051</v>
      </c>
      <c r="B861" t="s">
        <v>2800</v>
      </c>
      <c r="C861" s="4" t="str">
        <f>IF(ISERROR(_xlfn.XMATCH(B861,newlist!B:B,0)),"not found","found")</f>
        <v>not found</v>
      </c>
    </row>
    <row r="862" spans="1:3" x14ac:dyDescent="0.5">
      <c r="A862" t="s">
        <v>1051</v>
      </c>
      <c r="B862" t="s">
        <v>2801</v>
      </c>
      <c r="C862" s="4" t="str">
        <f>IF(ISERROR(_xlfn.XMATCH(B862,newlist!B:B,0)),"not found","found")</f>
        <v>not found</v>
      </c>
    </row>
    <row r="863" spans="1:3" x14ac:dyDescent="0.5">
      <c r="A863" t="s">
        <v>1051</v>
      </c>
      <c r="B863" t="s">
        <v>2802</v>
      </c>
      <c r="C863" s="4" t="str">
        <f>IF(ISERROR(_xlfn.XMATCH(B863,newlist!B:B,0)),"not found","found")</f>
        <v>not found</v>
      </c>
    </row>
    <row r="864" spans="1:3" x14ac:dyDescent="0.5">
      <c r="A864" t="s">
        <v>1051</v>
      </c>
      <c r="B864" t="s">
        <v>2803</v>
      </c>
      <c r="C864" s="4" t="str">
        <f>IF(ISERROR(_xlfn.XMATCH(B864,newlist!B:B,0)),"not found","found")</f>
        <v>not found</v>
      </c>
    </row>
    <row r="865" spans="1:3" x14ac:dyDescent="0.5">
      <c r="A865" t="s">
        <v>1051</v>
      </c>
      <c r="B865" t="s">
        <v>2804</v>
      </c>
      <c r="C865" s="4" t="str">
        <f>IF(ISERROR(_xlfn.XMATCH(B865,newlist!B:B,0)),"not found","found")</f>
        <v>not found</v>
      </c>
    </row>
    <row r="866" spans="1:3" x14ac:dyDescent="0.5">
      <c r="A866" t="s">
        <v>1051</v>
      </c>
      <c r="B866" t="s">
        <v>2805</v>
      </c>
      <c r="C866" s="4" t="str">
        <f>IF(ISERROR(_xlfn.XMATCH(B866,newlist!B:B,0)),"not found","found")</f>
        <v>not found</v>
      </c>
    </row>
    <row r="867" spans="1:3" x14ac:dyDescent="0.5">
      <c r="A867" t="s">
        <v>1051</v>
      </c>
      <c r="B867" t="s">
        <v>2806</v>
      </c>
      <c r="C867" s="4" t="str">
        <f>IF(ISERROR(_xlfn.XMATCH(B867,newlist!B:B,0)),"not found","found")</f>
        <v>not found</v>
      </c>
    </row>
    <row r="868" spans="1:3" x14ac:dyDescent="0.5">
      <c r="A868" t="s">
        <v>1051</v>
      </c>
      <c r="B868" t="s">
        <v>2807</v>
      </c>
      <c r="C868" s="4" t="str">
        <f>IF(ISERROR(_xlfn.XMATCH(B868,newlist!B:B,0)),"not found","found")</f>
        <v>not found</v>
      </c>
    </row>
    <row r="869" spans="1:3" x14ac:dyDescent="0.5">
      <c r="A869" t="s">
        <v>1051</v>
      </c>
      <c r="B869" t="s">
        <v>2808</v>
      </c>
      <c r="C869" s="4" t="str">
        <f>IF(ISERROR(_xlfn.XMATCH(B869,newlist!B:B,0)),"not found","found")</f>
        <v>not found</v>
      </c>
    </row>
    <row r="870" spans="1:3" hidden="1" x14ac:dyDescent="0.5">
      <c r="A870" t="s">
        <v>1051</v>
      </c>
      <c r="B870" t="s">
        <v>563</v>
      </c>
      <c r="C870" s="4" t="str">
        <f>IF(ISERROR(_xlfn.XMATCH(B870,newlist!B:B,0)),"not found","found")</f>
        <v>found</v>
      </c>
    </row>
    <row r="871" spans="1:3" hidden="1" x14ac:dyDescent="0.5">
      <c r="A871" t="s">
        <v>1051</v>
      </c>
      <c r="B871" t="s">
        <v>624</v>
      </c>
      <c r="C871" s="4" t="str">
        <f>IF(ISERROR(_xlfn.XMATCH(B871,newlist!B:B,0)),"not found","found")</f>
        <v>found</v>
      </c>
    </row>
    <row r="872" spans="1:3" hidden="1" x14ac:dyDescent="0.5">
      <c r="A872" t="s">
        <v>1051</v>
      </c>
      <c r="B872" t="s">
        <v>547</v>
      </c>
      <c r="C872" s="4" t="str">
        <f>IF(ISERROR(_xlfn.XMATCH(B872,newlist!B:B,0)),"not found","found")</f>
        <v>found</v>
      </c>
    </row>
    <row r="873" spans="1:3" hidden="1" x14ac:dyDescent="0.5">
      <c r="A873" t="s">
        <v>1051</v>
      </c>
      <c r="B873" t="s">
        <v>923</v>
      </c>
      <c r="C873" s="4" t="str">
        <f>IF(ISERROR(_xlfn.XMATCH(B873,newlist!B:B,0)),"not found","found")</f>
        <v>found</v>
      </c>
    </row>
    <row r="874" spans="1:3" hidden="1" x14ac:dyDescent="0.5">
      <c r="A874" t="s">
        <v>1051</v>
      </c>
      <c r="B874" t="s">
        <v>583</v>
      </c>
      <c r="C874" s="4" t="str">
        <f>IF(ISERROR(_xlfn.XMATCH(B874,newlist!B:B,0)),"not found","found")</f>
        <v>found</v>
      </c>
    </row>
    <row r="875" spans="1:3" hidden="1" x14ac:dyDescent="0.5">
      <c r="A875" t="s">
        <v>1051</v>
      </c>
      <c r="B875" t="s">
        <v>85</v>
      </c>
      <c r="C875" s="4" t="str">
        <f>IF(ISERROR(_xlfn.XMATCH(B875,newlist!B:B,0)),"not found","found")</f>
        <v>found</v>
      </c>
    </row>
    <row r="876" spans="1:3" hidden="1" x14ac:dyDescent="0.5">
      <c r="A876" t="s">
        <v>1051</v>
      </c>
      <c r="B876" t="s">
        <v>846</v>
      </c>
      <c r="C876" s="4" t="str">
        <f>IF(ISERROR(_xlfn.XMATCH(B876,newlist!B:B,0)),"not found","found")</f>
        <v>found</v>
      </c>
    </row>
    <row r="877" spans="1:3" hidden="1" x14ac:dyDescent="0.5">
      <c r="A877" t="s">
        <v>1051</v>
      </c>
      <c r="B877" t="s">
        <v>647</v>
      </c>
      <c r="C877" s="4" t="str">
        <f>IF(ISERROR(_xlfn.XMATCH(B877,newlist!B:B,0)),"not found","found")</f>
        <v>found</v>
      </c>
    </row>
    <row r="878" spans="1:3" hidden="1" x14ac:dyDescent="0.5">
      <c r="A878" t="s">
        <v>1051</v>
      </c>
      <c r="B878" t="s">
        <v>951</v>
      </c>
      <c r="C878" s="4" t="str">
        <f>IF(ISERROR(_xlfn.XMATCH(B878,newlist!B:B,0)),"not found","found")</f>
        <v>found</v>
      </c>
    </row>
    <row r="879" spans="1:3" hidden="1" x14ac:dyDescent="0.5">
      <c r="A879" t="s">
        <v>1051</v>
      </c>
      <c r="B879" t="s">
        <v>883</v>
      </c>
      <c r="C879" s="4" t="str">
        <f>IF(ISERROR(_xlfn.XMATCH(B879,newlist!B:B,0)),"not found","found")</f>
        <v>found</v>
      </c>
    </row>
    <row r="880" spans="1:3" hidden="1" x14ac:dyDescent="0.5">
      <c r="A880" t="s">
        <v>1051</v>
      </c>
      <c r="B880" t="s">
        <v>555</v>
      </c>
      <c r="C880" s="4" t="str">
        <f>IF(ISERROR(_xlfn.XMATCH(B880,newlist!B:B,0)),"not found","found")</f>
        <v>found</v>
      </c>
    </row>
    <row r="881" spans="1:3" hidden="1" x14ac:dyDescent="0.5">
      <c r="A881" t="s">
        <v>1051</v>
      </c>
      <c r="B881" t="s">
        <v>959</v>
      </c>
      <c r="C881" s="4" t="str">
        <f>IF(ISERROR(_xlfn.XMATCH(B881,newlist!B:B,0)),"not found","found")</f>
        <v>found</v>
      </c>
    </row>
    <row r="882" spans="1:3" hidden="1" x14ac:dyDescent="0.5">
      <c r="A882" t="s">
        <v>1051</v>
      </c>
      <c r="B882" t="s">
        <v>571</v>
      </c>
      <c r="C882" s="4" t="str">
        <f>IF(ISERROR(_xlfn.XMATCH(B882,newlist!B:B,0)),"not found","found")</f>
        <v>found</v>
      </c>
    </row>
    <row r="883" spans="1:3" hidden="1" x14ac:dyDescent="0.5">
      <c r="A883" t="s">
        <v>1051</v>
      </c>
      <c r="B883" t="s">
        <v>496</v>
      </c>
      <c r="C883" s="4" t="str">
        <f>IF(ISERROR(_xlfn.XMATCH(B883,newlist!B:B,0)),"not found","found")</f>
        <v>found</v>
      </c>
    </row>
    <row r="884" spans="1:3" hidden="1" x14ac:dyDescent="0.5">
      <c r="A884" t="s">
        <v>1051</v>
      </c>
      <c r="B884" t="s">
        <v>777</v>
      </c>
      <c r="C884" s="4" t="str">
        <f>IF(ISERROR(_xlfn.XMATCH(B884,newlist!B:B,0)),"not found","found")</f>
        <v>found</v>
      </c>
    </row>
    <row r="885" spans="1:3" hidden="1" x14ac:dyDescent="0.5">
      <c r="A885" t="s">
        <v>1051</v>
      </c>
      <c r="B885" t="s">
        <v>632</v>
      </c>
      <c r="C885" s="4" t="str">
        <f>IF(ISERROR(_xlfn.XMATCH(B885,newlist!B:B,0)),"not found","found")</f>
        <v>found</v>
      </c>
    </row>
    <row r="886" spans="1:3" hidden="1" x14ac:dyDescent="0.5">
      <c r="A886" t="s">
        <v>1051</v>
      </c>
      <c r="B886" t="s">
        <v>903</v>
      </c>
      <c r="C886" s="4" t="str">
        <f>IF(ISERROR(_xlfn.XMATCH(B886,newlist!B:B,0)),"not found","found")</f>
        <v>found</v>
      </c>
    </row>
    <row r="887" spans="1:3" hidden="1" x14ac:dyDescent="0.5">
      <c r="A887" t="s">
        <v>1051</v>
      </c>
      <c r="B887" t="s">
        <v>531</v>
      </c>
      <c r="C887" s="4" t="str">
        <f>IF(ISERROR(_xlfn.XMATCH(B887,newlist!B:B,0)),"not found","found")</f>
        <v>found</v>
      </c>
    </row>
    <row r="888" spans="1:3" hidden="1" x14ac:dyDescent="0.5">
      <c r="A888" t="s">
        <v>1051</v>
      </c>
      <c r="B888" t="s">
        <v>1034</v>
      </c>
      <c r="C888" s="4" t="str">
        <f>IF(ISERROR(_xlfn.XMATCH(B888,newlist!B:B,0)),"not found","found")</f>
        <v>found</v>
      </c>
    </row>
    <row r="889" spans="1:3" hidden="1" x14ac:dyDescent="0.5">
      <c r="A889" t="s">
        <v>1051</v>
      </c>
      <c r="B889" t="s">
        <v>626</v>
      </c>
      <c r="C889" s="4" t="str">
        <f>IF(ISERROR(_xlfn.XMATCH(B889,newlist!B:B,0)),"not found","found")</f>
        <v>found</v>
      </c>
    </row>
    <row r="890" spans="1:3" hidden="1" x14ac:dyDescent="0.5">
      <c r="A890" t="s">
        <v>1051</v>
      </c>
      <c r="B890" t="s">
        <v>998</v>
      </c>
      <c r="C890" s="4" t="str">
        <f>IF(ISERROR(_xlfn.XMATCH(B890,newlist!B:B,0)),"not found","found")</f>
        <v>found</v>
      </c>
    </row>
    <row r="891" spans="1:3" hidden="1" x14ac:dyDescent="0.5">
      <c r="A891" t="s">
        <v>1051</v>
      </c>
      <c r="B891" t="s">
        <v>513</v>
      </c>
      <c r="C891" s="4" t="str">
        <f>IF(ISERROR(_xlfn.XMATCH(B891,newlist!B:B,0)),"not found","found")</f>
        <v>found</v>
      </c>
    </row>
    <row r="892" spans="1:3" hidden="1" x14ac:dyDescent="0.5">
      <c r="A892" t="s">
        <v>1051</v>
      </c>
      <c r="B892" t="s">
        <v>565</v>
      </c>
      <c r="C892" s="4" t="str">
        <f>IF(ISERROR(_xlfn.XMATCH(B892,newlist!B:B,0)),"not found","found")</f>
        <v>found</v>
      </c>
    </row>
    <row r="893" spans="1:3" hidden="1" x14ac:dyDescent="0.5">
      <c r="A893" t="s">
        <v>1051</v>
      </c>
      <c r="B893" t="s">
        <v>931</v>
      </c>
      <c r="C893" s="4" t="str">
        <f>IF(ISERROR(_xlfn.XMATCH(B893,newlist!B:B,0)),"not found","found")</f>
        <v>found</v>
      </c>
    </row>
    <row r="894" spans="1:3" hidden="1" x14ac:dyDescent="0.5">
      <c r="A894" t="s">
        <v>1051</v>
      </c>
      <c r="B894" t="s">
        <v>445</v>
      </c>
      <c r="C894" s="4" t="str">
        <f>IF(ISERROR(_xlfn.XMATCH(B894,newlist!B:B,0)),"not found","found")</f>
        <v>found</v>
      </c>
    </row>
    <row r="895" spans="1:3" hidden="1" x14ac:dyDescent="0.5">
      <c r="A895" t="s">
        <v>1051</v>
      </c>
      <c r="B895" t="s">
        <v>508</v>
      </c>
      <c r="C895" s="4" t="str">
        <f>IF(ISERROR(_xlfn.XMATCH(B895,newlist!B:B,0)),"not found","found")</f>
        <v>found</v>
      </c>
    </row>
    <row r="896" spans="1:3" hidden="1" x14ac:dyDescent="0.5">
      <c r="A896" t="s">
        <v>1051</v>
      </c>
      <c r="B896" t="s">
        <v>577</v>
      </c>
      <c r="C896" s="4" t="str">
        <f>IF(ISERROR(_xlfn.XMATCH(B896,newlist!B:B,0)),"not found","found")</f>
        <v>found</v>
      </c>
    </row>
    <row r="897" spans="1:3" hidden="1" x14ac:dyDescent="0.5">
      <c r="A897" t="s">
        <v>1051</v>
      </c>
      <c r="B897" t="s">
        <v>559</v>
      </c>
      <c r="C897" s="4" t="str">
        <f>IF(ISERROR(_xlfn.XMATCH(B897,newlist!B:B,0)),"not found","found")</f>
        <v>found</v>
      </c>
    </row>
    <row r="898" spans="1:3" hidden="1" x14ac:dyDescent="0.5">
      <c r="A898" t="s">
        <v>1051</v>
      </c>
      <c r="B898" t="s">
        <v>498</v>
      </c>
      <c r="C898" s="4" t="str">
        <f>IF(ISERROR(_xlfn.XMATCH(B898,newlist!B:B,0)),"not found","found")</f>
        <v>found</v>
      </c>
    </row>
    <row r="899" spans="1:3" hidden="1" x14ac:dyDescent="0.5">
      <c r="A899" t="s">
        <v>1051</v>
      </c>
      <c r="B899" t="s">
        <v>504</v>
      </c>
      <c r="C899" s="4" t="str">
        <f>IF(ISERROR(_xlfn.XMATCH(B899,newlist!B:B,0)),"not found","found")</f>
        <v>found</v>
      </c>
    </row>
    <row r="900" spans="1:3" hidden="1" x14ac:dyDescent="0.5">
      <c r="A900" t="s">
        <v>1051</v>
      </c>
      <c r="B900" t="s">
        <v>935</v>
      </c>
      <c r="C900" s="4" t="str">
        <f>IF(ISERROR(_xlfn.XMATCH(B900,newlist!B:B,0)),"not found","found")</f>
        <v>found</v>
      </c>
    </row>
    <row r="901" spans="1:3" hidden="1" x14ac:dyDescent="0.5">
      <c r="A901" t="s">
        <v>1051</v>
      </c>
      <c r="B901" t="s">
        <v>581</v>
      </c>
      <c r="C901" s="4" t="str">
        <f>IF(ISERROR(_xlfn.XMATCH(B901,newlist!B:B,0)),"not found","found")</f>
        <v>found</v>
      </c>
    </row>
    <row r="902" spans="1:3" hidden="1" x14ac:dyDescent="0.5">
      <c r="A902" t="s">
        <v>1051</v>
      </c>
      <c r="B902" t="s">
        <v>639</v>
      </c>
      <c r="C902" s="4" t="str">
        <f>IF(ISERROR(_xlfn.XMATCH(B902,newlist!B:B,0)),"not found","found")</f>
        <v>found</v>
      </c>
    </row>
    <row r="903" spans="1:3" hidden="1" x14ac:dyDescent="0.5">
      <c r="A903" t="s">
        <v>1051</v>
      </c>
      <c r="B903" t="s">
        <v>539</v>
      </c>
      <c r="C903" s="4" t="str">
        <f>IF(ISERROR(_xlfn.XMATCH(B903,newlist!B:B,0)),"not found","found")</f>
        <v>found</v>
      </c>
    </row>
    <row r="904" spans="1:3" hidden="1" x14ac:dyDescent="0.5">
      <c r="A904" t="s">
        <v>1051</v>
      </c>
      <c r="B904" t="s">
        <v>973</v>
      </c>
      <c r="C904" s="4" t="str">
        <f>IF(ISERROR(_xlfn.XMATCH(B904,newlist!B:B,0)),"not found","found")</f>
        <v>found</v>
      </c>
    </row>
    <row r="905" spans="1:3" hidden="1" x14ac:dyDescent="0.5">
      <c r="A905" t="s">
        <v>1051</v>
      </c>
      <c r="B905" t="s">
        <v>595</v>
      </c>
      <c r="C905" s="4" t="str">
        <f>IF(ISERROR(_xlfn.XMATCH(B905,newlist!B:B,0)),"not found","found")</f>
        <v>found</v>
      </c>
    </row>
    <row r="906" spans="1:3" hidden="1" x14ac:dyDescent="0.5">
      <c r="A906" t="s">
        <v>1051</v>
      </c>
      <c r="B906" t="s">
        <v>984</v>
      </c>
      <c r="C906" s="4" t="str">
        <f>IF(ISERROR(_xlfn.XMATCH(B906,newlist!B:B,0)),"not found","found")</f>
        <v>found</v>
      </c>
    </row>
    <row r="907" spans="1:3" hidden="1" x14ac:dyDescent="0.5">
      <c r="A907" t="s">
        <v>1051</v>
      </c>
      <c r="B907" t="s">
        <v>535</v>
      </c>
      <c r="C907" s="4" t="str">
        <f>IF(ISERROR(_xlfn.XMATCH(B907,newlist!B:B,0)),"not found","found")</f>
        <v>found</v>
      </c>
    </row>
    <row r="908" spans="1:3" hidden="1" x14ac:dyDescent="0.5">
      <c r="A908" t="s">
        <v>1051</v>
      </c>
      <c r="B908" t="s">
        <v>643</v>
      </c>
      <c r="C908" s="4" t="str">
        <f>IF(ISERROR(_xlfn.XMATCH(B908,newlist!B:B,0)),"not found","found")</f>
        <v>found</v>
      </c>
    </row>
    <row r="909" spans="1:3" hidden="1" x14ac:dyDescent="0.5">
      <c r="A909" t="s">
        <v>1051</v>
      </c>
      <c r="B909" t="s">
        <v>589</v>
      </c>
      <c r="C909" s="4" t="str">
        <f>IF(ISERROR(_xlfn.XMATCH(B909,newlist!B:B,0)),"not found","found")</f>
        <v>found</v>
      </c>
    </row>
    <row r="910" spans="1:3" hidden="1" x14ac:dyDescent="0.5">
      <c r="A910" t="s">
        <v>1051</v>
      </c>
      <c r="B910" t="s">
        <v>604</v>
      </c>
      <c r="C910" s="4" t="str">
        <f>IF(ISERROR(_xlfn.XMATCH(B910,newlist!B:B,0)),"not found","found")</f>
        <v>found</v>
      </c>
    </row>
    <row r="911" spans="1:3" hidden="1" x14ac:dyDescent="0.5">
      <c r="A911" t="s">
        <v>1051</v>
      </c>
      <c r="B911" t="s">
        <v>521</v>
      </c>
      <c r="C911" s="4" t="str">
        <f>IF(ISERROR(_xlfn.XMATCH(B911,newlist!B:B,0)),"not found","found")</f>
        <v>found</v>
      </c>
    </row>
    <row r="912" spans="1:3" hidden="1" x14ac:dyDescent="0.5">
      <c r="A912" t="s">
        <v>1051</v>
      </c>
      <c r="B912" t="s">
        <v>945</v>
      </c>
      <c r="C912" s="4" t="str">
        <f>IF(ISERROR(_xlfn.XMATCH(B912,newlist!B:B,0)),"not found","found")</f>
        <v>found</v>
      </c>
    </row>
    <row r="913" spans="1:3" hidden="1" x14ac:dyDescent="0.5">
      <c r="A913" t="s">
        <v>1051</v>
      </c>
      <c r="B913" t="s">
        <v>725</v>
      </c>
      <c r="C913" s="4" t="str">
        <f>IF(ISERROR(_xlfn.XMATCH(B913,newlist!B:B,0)),"not found","found")</f>
        <v>found</v>
      </c>
    </row>
    <row r="914" spans="1:3" hidden="1" x14ac:dyDescent="0.5">
      <c r="A914" t="s">
        <v>1051</v>
      </c>
      <c r="B914" t="s">
        <v>1018</v>
      </c>
      <c r="C914" s="4" t="str">
        <f>IF(ISERROR(_xlfn.XMATCH(B914,newlist!B:B,0)),"not found","found")</f>
        <v>found</v>
      </c>
    </row>
    <row r="915" spans="1:3" hidden="1" x14ac:dyDescent="0.5">
      <c r="A915" t="s">
        <v>1051</v>
      </c>
      <c r="B915" t="s">
        <v>1020</v>
      </c>
      <c r="C915" s="4" t="str">
        <f>IF(ISERROR(_xlfn.XMATCH(B915,newlist!B:B,0)),"not found","found")</f>
        <v>found</v>
      </c>
    </row>
    <row r="916" spans="1:3" hidden="1" x14ac:dyDescent="0.5">
      <c r="A916" t="s">
        <v>1051</v>
      </c>
      <c r="B916" t="s">
        <v>470</v>
      </c>
      <c r="C916" s="4" t="str">
        <f>IF(ISERROR(_xlfn.XMATCH(B916,newlist!B:B,0)),"not found","found")</f>
        <v>found</v>
      </c>
    </row>
    <row r="917" spans="1:3" x14ac:dyDescent="0.5">
      <c r="A917" t="s">
        <v>1051</v>
      </c>
      <c r="B917" t="s">
        <v>2809</v>
      </c>
      <c r="C917" s="4" t="str">
        <f>IF(ISERROR(_xlfn.XMATCH(B917,newlist!B:B,0)),"not found","found")</f>
        <v>not found</v>
      </c>
    </row>
    <row r="918" spans="1:3" hidden="1" x14ac:dyDescent="0.5">
      <c r="A918" t="s">
        <v>1051</v>
      </c>
      <c r="B918" t="s">
        <v>921</v>
      </c>
      <c r="C918" s="4" t="str">
        <f>IF(ISERROR(_xlfn.XMATCH(B918,newlist!B:B,0)),"not found","found")</f>
        <v>found</v>
      </c>
    </row>
    <row r="919" spans="1:3" hidden="1" x14ac:dyDescent="0.5">
      <c r="A919" t="s">
        <v>1051</v>
      </c>
      <c r="B919" t="s">
        <v>885</v>
      </c>
      <c r="C919" s="4" t="str">
        <f>IF(ISERROR(_xlfn.XMATCH(B919,newlist!B:B,0)),"not found","found")</f>
        <v>found</v>
      </c>
    </row>
    <row r="920" spans="1:3" hidden="1" x14ac:dyDescent="0.5">
      <c r="A920" t="s">
        <v>1051</v>
      </c>
      <c r="B920" t="s">
        <v>237</v>
      </c>
      <c r="C920" s="4" t="str">
        <f>IF(ISERROR(_xlfn.XMATCH(B920,newlist!B:B,0)),"not found","found")</f>
        <v>found</v>
      </c>
    </row>
    <row r="921" spans="1:3" hidden="1" x14ac:dyDescent="0.5">
      <c r="A921" t="s">
        <v>1051</v>
      </c>
      <c r="B921" t="s">
        <v>897</v>
      </c>
      <c r="C921" s="4" t="str">
        <f>IF(ISERROR(_xlfn.XMATCH(B921,newlist!B:B,0)),"not found","found")</f>
        <v>found</v>
      </c>
    </row>
    <row r="922" spans="1:3" hidden="1" x14ac:dyDescent="0.5">
      <c r="A922" t="s">
        <v>1051</v>
      </c>
      <c r="B922" t="s">
        <v>645</v>
      </c>
      <c r="C922" s="4" t="str">
        <f>IF(ISERROR(_xlfn.XMATCH(B922,newlist!B:B,0)),"not found","found")</f>
        <v>found</v>
      </c>
    </row>
    <row r="923" spans="1:3" hidden="1" x14ac:dyDescent="0.5">
      <c r="A923" t="s">
        <v>1051</v>
      </c>
      <c r="B923" t="s">
        <v>585</v>
      </c>
      <c r="C923" s="4" t="str">
        <f>IF(ISERROR(_xlfn.XMATCH(B923,newlist!B:B,0)),"not found","found")</f>
        <v>found</v>
      </c>
    </row>
    <row r="924" spans="1:3" hidden="1" x14ac:dyDescent="0.5">
      <c r="A924" t="s">
        <v>1051</v>
      </c>
      <c r="B924" t="s">
        <v>979</v>
      </c>
      <c r="C924" s="4" t="str">
        <f>IF(ISERROR(_xlfn.XMATCH(B924,newlist!B:B,0)),"not found","found")</f>
        <v>found</v>
      </c>
    </row>
    <row r="925" spans="1:3" hidden="1" x14ac:dyDescent="0.5">
      <c r="A925" t="s">
        <v>1051</v>
      </c>
      <c r="B925" t="s">
        <v>693</v>
      </c>
      <c r="C925" s="4" t="str">
        <f>IF(ISERROR(_xlfn.XMATCH(B925,newlist!B:B,0)),"not found","found")</f>
        <v>found</v>
      </c>
    </row>
    <row r="926" spans="1:3" hidden="1" x14ac:dyDescent="0.5">
      <c r="A926" t="s">
        <v>1051</v>
      </c>
      <c r="B926" t="s">
        <v>982</v>
      </c>
      <c r="C926" s="4" t="str">
        <f>IF(ISERROR(_xlfn.XMATCH(B926,newlist!B:B,0)),"not found","found")</f>
        <v>found</v>
      </c>
    </row>
    <row r="927" spans="1:3" hidden="1" x14ac:dyDescent="0.5">
      <c r="A927" t="s">
        <v>1051</v>
      </c>
      <c r="B927" t="s">
        <v>943</v>
      </c>
      <c r="C927" s="4" t="str">
        <f>IF(ISERROR(_xlfn.XMATCH(B927,newlist!B:B,0)),"not found","found")</f>
        <v>found</v>
      </c>
    </row>
    <row r="928" spans="1:3" hidden="1" x14ac:dyDescent="0.5">
      <c r="A928" t="s">
        <v>1051</v>
      </c>
      <c r="B928" t="s">
        <v>829</v>
      </c>
      <c r="C928" s="4" t="str">
        <f>IF(ISERROR(_xlfn.XMATCH(B928,newlist!B:B,0)),"not found","found")</f>
        <v>found</v>
      </c>
    </row>
    <row r="929" spans="1:3" hidden="1" x14ac:dyDescent="0.5">
      <c r="A929" t="s">
        <v>1051</v>
      </c>
      <c r="B929" t="s">
        <v>791</v>
      </c>
      <c r="C929" s="4" t="str">
        <f>IF(ISERROR(_xlfn.XMATCH(B929,newlist!B:B,0)),"not found","found")</f>
        <v>found</v>
      </c>
    </row>
    <row r="930" spans="1:3" hidden="1" x14ac:dyDescent="0.5">
      <c r="A930" t="s">
        <v>1051</v>
      </c>
      <c r="B930" t="s">
        <v>573</v>
      </c>
      <c r="C930" s="4" t="str">
        <f>IF(ISERROR(_xlfn.XMATCH(B930,newlist!B:B,0)),"not found","found")</f>
        <v>found</v>
      </c>
    </row>
    <row r="931" spans="1:3" hidden="1" x14ac:dyDescent="0.5">
      <c r="A931" t="s">
        <v>1051</v>
      </c>
      <c r="B931" t="s">
        <v>561</v>
      </c>
      <c r="C931" s="4" t="str">
        <f>IF(ISERROR(_xlfn.XMATCH(B931,newlist!B:B,0)),"not found","found")</f>
        <v>found</v>
      </c>
    </row>
    <row r="932" spans="1:3" hidden="1" x14ac:dyDescent="0.5">
      <c r="A932" t="s">
        <v>1051</v>
      </c>
      <c r="B932" t="s">
        <v>917</v>
      </c>
      <c r="C932" s="4" t="str">
        <f>IF(ISERROR(_xlfn.XMATCH(B932,newlist!B:B,0)),"not found","found")</f>
        <v>found</v>
      </c>
    </row>
    <row r="933" spans="1:3" hidden="1" x14ac:dyDescent="0.5">
      <c r="A933" t="s">
        <v>1051</v>
      </c>
      <c r="B933" t="s">
        <v>541</v>
      </c>
      <c r="C933" s="4" t="str">
        <f>IF(ISERROR(_xlfn.XMATCH(B933,newlist!B:B,0)),"not found","found")</f>
        <v>found</v>
      </c>
    </row>
    <row r="934" spans="1:3" hidden="1" x14ac:dyDescent="0.5">
      <c r="A934" t="s">
        <v>1051</v>
      </c>
      <c r="B934" t="s">
        <v>602</v>
      </c>
      <c r="C934" s="4" t="str">
        <f>IF(ISERROR(_xlfn.XMATCH(B934,newlist!B:B,0)),"not found","found")</f>
        <v>found</v>
      </c>
    </row>
    <row r="935" spans="1:3" hidden="1" x14ac:dyDescent="0.5">
      <c r="A935" t="s">
        <v>1051</v>
      </c>
      <c r="B935" t="s">
        <v>1006</v>
      </c>
      <c r="C935" s="4" t="str">
        <f>IF(ISERROR(_xlfn.XMATCH(B935,newlist!B:B,0)),"not found","found")</f>
        <v>found</v>
      </c>
    </row>
    <row r="936" spans="1:3" hidden="1" x14ac:dyDescent="0.5">
      <c r="A936" t="s">
        <v>1051</v>
      </c>
      <c r="B936" t="s">
        <v>1048</v>
      </c>
      <c r="C936" s="4" t="str">
        <f>IF(ISERROR(_xlfn.XMATCH(B936,newlist!B:B,0)),"not found","found")</f>
        <v>found</v>
      </c>
    </row>
    <row r="937" spans="1:3" hidden="1" x14ac:dyDescent="0.5">
      <c r="A937" t="s">
        <v>1051</v>
      </c>
      <c r="B937" t="s">
        <v>634</v>
      </c>
      <c r="C937" s="4" t="str">
        <f>IF(ISERROR(_xlfn.XMATCH(B937,newlist!B:B,0)),"not found","found")</f>
        <v>found</v>
      </c>
    </row>
    <row r="938" spans="1:3" hidden="1" x14ac:dyDescent="0.5">
      <c r="A938" t="s">
        <v>1051</v>
      </c>
      <c r="B938" t="s">
        <v>173</v>
      </c>
      <c r="C938" s="4" t="str">
        <f>IF(ISERROR(_xlfn.XMATCH(B938,newlist!B:B,0)),"not found","found")</f>
        <v>found</v>
      </c>
    </row>
    <row r="939" spans="1:3" hidden="1" x14ac:dyDescent="0.5">
      <c r="A939" t="s">
        <v>1051</v>
      </c>
      <c r="B939" t="s">
        <v>996</v>
      </c>
      <c r="C939" s="4" t="str">
        <f>IF(ISERROR(_xlfn.XMATCH(B939,newlist!B:B,0)),"not found","found")</f>
        <v>found</v>
      </c>
    </row>
    <row r="940" spans="1:3" hidden="1" x14ac:dyDescent="0.5">
      <c r="A940" t="s">
        <v>1051</v>
      </c>
      <c r="B940" t="s">
        <v>527</v>
      </c>
      <c r="C940" s="4" t="str">
        <f>IF(ISERROR(_xlfn.XMATCH(B940,newlist!B:B,0)),"not found","found")</f>
        <v>found</v>
      </c>
    </row>
    <row r="941" spans="1:3" hidden="1" x14ac:dyDescent="0.5">
      <c r="A941" t="s">
        <v>1051</v>
      </c>
      <c r="B941" t="s">
        <v>608</v>
      </c>
      <c r="C941" s="4" t="str">
        <f>IF(ISERROR(_xlfn.XMATCH(B941,newlist!B:B,0)),"not found","found")</f>
        <v>found</v>
      </c>
    </row>
    <row r="942" spans="1:3" hidden="1" x14ac:dyDescent="0.5">
      <c r="A942" t="s">
        <v>1051</v>
      </c>
      <c r="B942" t="s">
        <v>598</v>
      </c>
      <c r="C942" s="4" t="str">
        <f>IF(ISERROR(_xlfn.XMATCH(B942,newlist!B:B,0)),"not found","found")</f>
        <v>found</v>
      </c>
    </row>
    <row r="943" spans="1:3" hidden="1" x14ac:dyDescent="0.5">
      <c r="A943" t="s">
        <v>1051</v>
      </c>
      <c r="B943" t="s">
        <v>797</v>
      </c>
      <c r="C943" s="4" t="str">
        <f>IF(ISERROR(_xlfn.XMATCH(B943,newlist!B:B,0)),"not found","found")</f>
        <v>found</v>
      </c>
    </row>
    <row r="944" spans="1:3" hidden="1" x14ac:dyDescent="0.5">
      <c r="A944" t="s">
        <v>1051</v>
      </c>
      <c r="B944" t="s">
        <v>1046</v>
      </c>
      <c r="C944" s="4" t="str">
        <f>IF(ISERROR(_xlfn.XMATCH(B944,newlist!B:B,0)),"not found","found")</f>
        <v>found</v>
      </c>
    </row>
    <row r="945" spans="1:3" hidden="1" x14ac:dyDescent="0.5">
      <c r="A945" t="s">
        <v>1051</v>
      </c>
      <c r="B945" t="s">
        <v>525</v>
      </c>
      <c r="C945" s="4" t="str">
        <f>IF(ISERROR(_xlfn.XMATCH(B945,newlist!B:B,0)),"not found","found")</f>
        <v>found</v>
      </c>
    </row>
    <row r="946" spans="1:3" hidden="1" x14ac:dyDescent="0.5">
      <c r="A946" t="s">
        <v>1051</v>
      </c>
      <c r="B946" t="s">
        <v>357</v>
      </c>
      <c r="C946" s="4" t="str">
        <f>IF(ISERROR(_xlfn.XMATCH(B946,newlist!B:B,0)),"not found","found")</f>
        <v>found</v>
      </c>
    </row>
    <row r="947" spans="1:3" hidden="1" x14ac:dyDescent="0.5">
      <c r="A947" t="s">
        <v>1051</v>
      </c>
      <c r="B947" t="s">
        <v>606</v>
      </c>
      <c r="C947" s="4" t="str">
        <f>IF(ISERROR(_xlfn.XMATCH(B947,newlist!B:B,0)),"not found","found")</f>
        <v>found</v>
      </c>
    </row>
    <row r="948" spans="1:3" hidden="1" x14ac:dyDescent="0.5">
      <c r="A948" t="s">
        <v>1051</v>
      </c>
      <c r="B948" t="s">
        <v>557</v>
      </c>
      <c r="C948" s="4" t="str">
        <f>IF(ISERROR(_xlfn.XMATCH(B948,newlist!B:B,0)),"not found","found")</f>
        <v>found</v>
      </c>
    </row>
    <row r="949" spans="1:3" hidden="1" x14ac:dyDescent="0.5">
      <c r="A949" t="s">
        <v>1051</v>
      </c>
      <c r="B949" t="s">
        <v>591</v>
      </c>
      <c r="C949" s="4" t="str">
        <f>IF(ISERROR(_xlfn.XMATCH(B949,newlist!B:B,0)),"not found","found")</f>
        <v>found</v>
      </c>
    </row>
    <row r="950" spans="1:3" hidden="1" x14ac:dyDescent="0.5">
      <c r="A950" t="s">
        <v>1051</v>
      </c>
      <c r="B950" t="s">
        <v>1032</v>
      </c>
      <c r="C950" s="4" t="str">
        <f>IF(ISERROR(_xlfn.XMATCH(B950,newlist!B:B,0)),"not found","found")</f>
        <v>found</v>
      </c>
    </row>
    <row r="951" spans="1:3" hidden="1" x14ac:dyDescent="0.5">
      <c r="A951" t="s">
        <v>1051</v>
      </c>
      <c r="B951" t="s">
        <v>961</v>
      </c>
      <c r="C951" s="4" t="str">
        <f>IF(ISERROR(_xlfn.XMATCH(B951,newlist!B:B,0)),"not found","found")</f>
        <v>found</v>
      </c>
    </row>
    <row r="952" spans="1:3" hidden="1" x14ac:dyDescent="0.5">
      <c r="A952" t="s">
        <v>1051</v>
      </c>
      <c r="B952" t="s">
        <v>517</v>
      </c>
      <c r="C952" s="4" t="str">
        <f>IF(ISERROR(_xlfn.XMATCH(B952,newlist!B:B,0)),"not found","found")</f>
        <v>found</v>
      </c>
    </row>
    <row r="953" spans="1:3" hidden="1" x14ac:dyDescent="0.5">
      <c r="A953" t="s">
        <v>1051</v>
      </c>
      <c r="B953" t="s">
        <v>533</v>
      </c>
      <c r="C953" s="4" t="str">
        <f>IF(ISERROR(_xlfn.XMATCH(B953,newlist!B:B,0)),"not found","found")</f>
        <v>found</v>
      </c>
    </row>
    <row r="954" spans="1:3" hidden="1" x14ac:dyDescent="0.5">
      <c r="A954" t="s">
        <v>1051</v>
      </c>
      <c r="B954" t="s">
        <v>1010</v>
      </c>
      <c r="C954" s="4" t="str">
        <f>IF(ISERROR(_xlfn.XMATCH(B954,newlist!B:B,0)),"not found","found")</f>
        <v>found</v>
      </c>
    </row>
    <row r="955" spans="1:3" hidden="1" x14ac:dyDescent="0.5">
      <c r="A955" t="s">
        <v>1051</v>
      </c>
      <c r="B955" t="s">
        <v>587</v>
      </c>
      <c r="C955" s="4" t="str">
        <f>IF(ISERROR(_xlfn.XMATCH(B955,newlist!B:B,0)),"not found","found")</f>
        <v>found</v>
      </c>
    </row>
    <row r="956" spans="1:3" hidden="1" x14ac:dyDescent="0.5">
      <c r="A956" t="s">
        <v>1051</v>
      </c>
      <c r="B956" t="s">
        <v>579</v>
      </c>
      <c r="C956" s="4" t="str">
        <f>IF(ISERROR(_xlfn.XMATCH(B956,newlist!B:B,0)),"not found","found")</f>
        <v>found</v>
      </c>
    </row>
    <row r="957" spans="1:3" hidden="1" x14ac:dyDescent="0.5">
      <c r="A957" t="s">
        <v>1051</v>
      </c>
      <c r="B957" t="s">
        <v>537</v>
      </c>
      <c r="C957" s="4" t="str">
        <f>IF(ISERROR(_xlfn.XMATCH(B957,newlist!B:B,0)),"not found","found")</f>
        <v>found</v>
      </c>
    </row>
    <row r="958" spans="1:3" hidden="1" x14ac:dyDescent="0.5">
      <c r="A958" t="s">
        <v>1051</v>
      </c>
      <c r="B958" t="s">
        <v>937</v>
      </c>
      <c r="C958" s="4" t="str">
        <f>IF(ISERROR(_xlfn.XMATCH(B958,newlist!B:B,0)),"not found","found")</f>
        <v>found</v>
      </c>
    </row>
    <row r="959" spans="1:3" hidden="1" x14ac:dyDescent="0.5">
      <c r="A959" t="s">
        <v>1051</v>
      </c>
      <c r="B959" t="s">
        <v>488</v>
      </c>
      <c r="C959" s="4" t="str">
        <f>IF(ISERROR(_xlfn.XMATCH(B959,newlist!B:B,0)),"not found","found")</f>
        <v>found</v>
      </c>
    </row>
    <row r="960" spans="1:3" hidden="1" x14ac:dyDescent="0.5">
      <c r="A960" t="s">
        <v>1051</v>
      </c>
      <c r="B960" t="s">
        <v>628</v>
      </c>
      <c r="C960" s="4" t="str">
        <f>IF(ISERROR(_xlfn.XMATCH(B960,newlist!B:B,0)),"not found","found")</f>
        <v>found</v>
      </c>
    </row>
    <row r="961" spans="1:3" hidden="1" x14ac:dyDescent="0.5">
      <c r="A961" t="s">
        <v>1051</v>
      </c>
      <c r="B961" t="s">
        <v>1030</v>
      </c>
      <c r="C961" s="4" t="str">
        <f>IF(ISERROR(_xlfn.XMATCH(B961,newlist!B:B,0)),"not found","found")</f>
        <v>found</v>
      </c>
    </row>
    <row r="962" spans="1:3" hidden="1" x14ac:dyDescent="0.5">
      <c r="A962" t="s">
        <v>1051</v>
      </c>
      <c r="B962" t="s">
        <v>543</v>
      </c>
      <c r="C962" s="4" t="str">
        <f>IF(ISERROR(_xlfn.XMATCH(B962,newlist!B:B,0)),"not found","found")</f>
        <v>found</v>
      </c>
    </row>
    <row r="963" spans="1:3" hidden="1" x14ac:dyDescent="0.5">
      <c r="A963" t="s">
        <v>1051</v>
      </c>
      <c r="B963" t="s">
        <v>551</v>
      </c>
      <c r="C963" s="4" t="str">
        <f>IF(ISERROR(_xlfn.XMATCH(B963,newlist!B:B,0)),"not found","found")</f>
        <v>found</v>
      </c>
    </row>
    <row r="964" spans="1:3" hidden="1" x14ac:dyDescent="0.5">
      <c r="A964" t="s">
        <v>1051</v>
      </c>
      <c r="B964" t="s">
        <v>630</v>
      </c>
      <c r="C964" s="4" t="str">
        <f>IF(ISERROR(_xlfn.XMATCH(B964,newlist!B:B,0)),"not found","found")</f>
        <v>found</v>
      </c>
    </row>
    <row r="965" spans="1:3" hidden="1" x14ac:dyDescent="0.5">
      <c r="A965" t="s">
        <v>1051</v>
      </c>
      <c r="B965" t="s">
        <v>1004</v>
      </c>
      <c r="C965" s="4" t="str">
        <f>IF(ISERROR(_xlfn.XMATCH(B965,newlist!B:B,0)),"not found","found")</f>
        <v>found</v>
      </c>
    </row>
    <row r="966" spans="1:3" hidden="1" x14ac:dyDescent="0.5">
      <c r="A966" t="s">
        <v>1051</v>
      </c>
      <c r="B966" t="s">
        <v>620</v>
      </c>
      <c r="C966" s="4" t="str">
        <f>IF(ISERROR(_xlfn.XMATCH(B966,newlist!B:B,0)),"not found","found")</f>
        <v>found</v>
      </c>
    </row>
    <row r="967" spans="1:3" hidden="1" x14ac:dyDescent="0.5">
      <c r="A967" t="s">
        <v>1051</v>
      </c>
      <c r="B967" t="s">
        <v>1002</v>
      </c>
      <c r="C967" s="4" t="str">
        <f>IF(ISERROR(_xlfn.XMATCH(B967,newlist!B:B,0)),"not found","found")</f>
        <v>found</v>
      </c>
    </row>
    <row r="968" spans="1:3" hidden="1" x14ac:dyDescent="0.5">
      <c r="A968" t="s">
        <v>1051</v>
      </c>
      <c r="B968" t="s">
        <v>868</v>
      </c>
      <c r="C968" s="4" t="str">
        <f>IF(ISERROR(_xlfn.XMATCH(B968,newlist!B:B,0)),"not found","found")</f>
        <v>found</v>
      </c>
    </row>
    <row r="969" spans="1:3" hidden="1" x14ac:dyDescent="0.5">
      <c r="A969" t="s">
        <v>1051</v>
      </c>
      <c r="B969" t="s">
        <v>567</v>
      </c>
      <c r="C969" s="4" t="str">
        <f>IF(ISERROR(_xlfn.XMATCH(B969,newlist!B:B,0)),"not found","found")</f>
        <v>found</v>
      </c>
    </row>
    <row r="970" spans="1:3" hidden="1" x14ac:dyDescent="0.5">
      <c r="A970" t="s">
        <v>1051</v>
      </c>
      <c r="B970" t="s">
        <v>569</v>
      </c>
      <c r="C970" s="4" t="str">
        <f>IF(ISERROR(_xlfn.XMATCH(B970,newlist!B:B,0)),"not found","found")</f>
        <v>found</v>
      </c>
    </row>
    <row r="971" spans="1:3" hidden="1" x14ac:dyDescent="0.5">
      <c r="A971" t="s">
        <v>1051</v>
      </c>
      <c r="B971" t="s">
        <v>775</v>
      </c>
      <c r="C971" s="4" t="str">
        <f>IF(ISERROR(_xlfn.XMATCH(B971,newlist!B:B,0)),"not found","found")</f>
        <v>found</v>
      </c>
    </row>
    <row r="972" spans="1:3" hidden="1" x14ac:dyDescent="0.5">
      <c r="A972" t="s">
        <v>1051</v>
      </c>
      <c r="B972" t="s">
        <v>831</v>
      </c>
      <c r="C972" s="4" t="str">
        <f>IF(ISERROR(_xlfn.XMATCH(B972,newlist!B:B,0)),"not found","found")</f>
        <v>found</v>
      </c>
    </row>
    <row r="973" spans="1:3" hidden="1" x14ac:dyDescent="0.5">
      <c r="A973" t="s">
        <v>1051</v>
      </c>
      <c r="B973" t="s">
        <v>986</v>
      </c>
      <c r="C973" s="4" t="str">
        <f>IF(ISERROR(_xlfn.XMATCH(B973,newlist!B:B,0)),"not found","found")</f>
        <v>found</v>
      </c>
    </row>
    <row r="974" spans="1:3" hidden="1" x14ac:dyDescent="0.5">
      <c r="A974" t="s">
        <v>1051</v>
      </c>
      <c r="B974" t="s">
        <v>980</v>
      </c>
      <c r="C974" s="4" t="str">
        <f>IF(ISERROR(_xlfn.XMATCH(B974,newlist!B:B,0)),"not found","found")</f>
        <v>found</v>
      </c>
    </row>
    <row r="975" spans="1:3" hidden="1" x14ac:dyDescent="0.5">
      <c r="A975" t="s">
        <v>1051</v>
      </c>
      <c r="B975" t="s">
        <v>523</v>
      </c>
      <c r="C975" s="4" t="str">
        <f>IF(ISERROR(_xlfn.XMATCH(B975,newlist!B:B,0)),"not found","found")</f>
        <v>found</v>
      </c>
    </row>
    <row r="976" spans="1:3" hidden="1" x14ac:dyDescent="0.5">
      <c r="A976" t="s">
        <v>1051</v>
      </c>
      <c r="B976" t="s">
        <v>502</v>
      </c>
      <c r="C976" s="4" t="str">
        <f>IF(ISERROR(_xlfn.XMATCH(B976,newlist!B:B,0)),"not found","found")</f>
        <v>found</v>
      </c>
    </row>
    <row r="977" spans="1:3" hidden="1" x14ac:dyDescent="0.5">
      <c r="A977" t="s">
        <v>1051</v>
      </c>
      <c r="B977" t="s">
        <v>515</v>
      </c>
      <c r="C977" s="4" t="str">
        <f>IF(ISERROR(_xlfn.XMATCH(B977,newlist!B:B,0)),"not found","found")</f>
        <v>found</v>
      </c>
    </row>
    <row r="978" spans="1:3" hidden="1" x14ac:dyDescent="0.5">
      <c r="A978" t="s">
        <v>1051</v>
      </c>
      <c r="B978" t="s">
        <v>482</v>
      </c>
      <c r="C978" s="4" t="str">
        <f>IF(ISERROR(_xlfn.XMATCH(B978,newlist!B:B,0)),"not found","found")</f>
        <v>found</v>
      </c>
    </row>
    <row r="979" spans="1:3" hidden="1" x14ac:dyDescent="0.5">
      <c r="A979" t="s">
        <v>1051</v>
      </c>
      <c r="B979" t="s">
        <v>641</v>
      </c>
      <c r="C979" s="4" t="str">
        <f>IF(ISERROR(_xlfn.XMATCH(B979,newlist!B:B,0)),"not found","found")</f>
        <v>found</v>
      </c>
    </row>
    <row r="980" spans="1:3" hidden="1" x14ac:dyDescent="0.5">
      <c r="A980" t="s">
        <v>1051</v>
      </c>
      <c r="B980" t="s">
        <v>939</v>
      </c>
      <c r="C980" s="4" t="str">
        <f>IF(ISERROR(_xlfn.XMATCH(B980,newlist!B:B,0)),"not found","found")</f>
        <v>found</v>
      </c>
    </row>
    <row r="981" spans="1:3" hidden="1" x14ac:dyDescent="0.5">
      <c r="A981" t="s">
        <v>1051</v>
      </c>
      <c r="B981" t="s">
        <v>492</v>
      </c>
      <c r="C981" s="4" t="str">
        <f>IF(ISERROR(_xlfn.XMATCH(B981,newlist!B:B,0)),"not found","found")</f>
        <v>found</v>
      </c>
    </row>
    <row r="982" spans="1:3" hidden="1" x14ac:dyDescent="0.5">
      <c r="A982" t="s">
        <v>1051</v>
      </c>
      <c r="B982" t="s">
        <v>637</v>
      </c>
      <c r="C982" s="4" t="str">
        <f>IF(ISERROR(_xlfn.XMATCH(B982,newlist!B:B,0)),"not found","found")</f>
        <v>found</v>
      </c>
    </row>
    <row r="983" spans="1:3" hidden="1" x14ac:dyDescent="0.5">
      <c r="A983" t="s">
        <v>1051</v>
      </c>
      <c r="B983" t="s">
        <v>1014</v>
      </c>
      <c r="C983" s="4" t="str">
        <f>IF(ISERROR(_xlfn.XMATCH(B983,newlist!B:B,0)),"not found","found")</f>
        <v>found</v>
      </c>
    </row>
    <row r="984" spans="1:3" hidden="1" x14ac:dyDescent="0.5">
      <c r="A984" t="s">
        <v>1051</v>
      </c>
      <c r="B984" t="s">
        <v>593</v>
      </c>
      <c r="C984" s="4" t="str">
        <f>IF(ISERROR(_xlfn.XMATCH(B984,newlist!B:B,0)),"not found","found")</f>
        <v>found</v>
      </c>
    </row>
    <row r="985" spans="1:3" hidden="1" x14ac:dyDescent="0.5">
      <c r="A985" t="s">
        <v>1051</v>
      </c>
      <c r="B985" t="s">
        <v>545</v>
      </c>
      <c r="C985" s="4" t="str">
        <f>IF(ISERROR(_xlfn.XMATCH(B985,newlist!B:B,0)),"not found","found")</f>
        <v>found</v>
      </c>
    </row>
    <row r="986" spans="1:3" hidden="1" x14ac:dyDescent="0.5">
      <c r="A986" t="s">
        <v>1051</v>
      </c>
      <c r="B986" t="s">
        <v>1024</v>
      </c>
      <c r="C986" s="4" t="str">
        <f>IF(ISERROR(_xlfn.XMATCH(B986,newlist!B:B,0)),"not found","found")</f>
        <v>found</v>
      </c>
    </row>
    <row r="987" spans="1:3" hidden="1" x14ac:dyDescent="0.5">
      <c r="A987" t="s">
        <v>1051</v>
      </c>
      <c r="B987" t="s">
        <v>835</v>
      </c>
      <c r="C987" s="4" t="str">
        <f>IF(ISERROR(_xlfn.XMATCH(B987,newlist!B:B,0)),"not found","found")</f>
        <v>found</v>
      </c>
    </row>
    <row r="988" spans="1:3" hidden="1" x14ac:dyDescent="0.5">
      <c r="A988" t="s">
        <v>1051</v>
      </c>
      <c r="B988" t="s">
        <v>500</v>
      </c>
      <c r="C988" s="4" t="str">
        <f>IF(ISERROR(_xlfn.XMATCH(B988,newlist!B:B,0)),"not found","found")</f>
        <v>found</v>
      </c>
    </row>
    <row r="989" spans="1:3" hidden="1" x14ac:dyDescent="0.5">
      <c r="A989" t="s">
        <v>1051</v>
      </c>
      <c r="B989" t="s">
        <v>529</v>
      </c>
      <c r="C989" s="4" t="str">
        <f>IF(ISERROR(_xlfn.XMATCH(B989,newlist!B:B,0)),"not found","found")</f>
        <v>found</v>
      </c>
    </row>
    <row r="990" spans="1:3" hidden="1" x14ac:dyDescent="0.5">
      <c r="A990" t="s">
        <v>1051</v>
      </c>
      <c r="B990" t="s">
        <v>919</v>
      </c>
      <c r="C990" s="4" t="str">
        <f>IF(ISERROR(_xlfn.XMATCH(B990,newlist!B:B,0)),"not found","found")</f>
        <v>found</v>
      </c>
    </row>
    <row r="991" spans="1:3" hidden="1" x14ac:dyDescent="0.5">
      <c r="A991" t="s">
        <v>1051</v>
      </c>
      <c r="B991" t="s">
        <v>614</v>
      </c>
      <c r="C991" s="4" t="str">
        <f>IF(ISERROR(_xlfn.XMATCH(B991,newlist!B:B,0)),"not found","found")</f>
        <v>found</v>
      </c>
    </row>
    <row r="992" spans="1:3" hidden="1" x14ac:dyDescent="0.5">
      <c r="A992" t="s">
        <v>1051</v>
      </c>
      <c r="B992" t="s">
        <v>435</v>
      </c>
      <c r="C992" s="4" t="str">
        <f>IF(ISERROR(_xlfn.XMATCH(B992,newlist!B:B,0)),"not found","found")</f>
        <v>found</v>
      </c>
    </row>
    <row r="993" spans="1:3" hidden="1" x14ac:dyDescent="0.5">
      <c r="A993" t="s">
        <v>1051</v>
      </c>
      <c r="B993" t="s">
        <v>909</v>
      </c>
      <c r="C993" s="4" t="str">
        <f>IF(ISERROR(_xlfn.XMATCH(B993,newlist!B:B,0)),"not found","found")</f>
        <v>found</v>
      </c>
    </row>
    <row r="994" spans="1:3" hidden="1" x14ac:dyDescent="0.5">
      <c r="A994" t="s">
        <v>1051</v>
      </c>
      <c r="B994" t="s">
        <v>2315</v>
      </c>
      <c r="C994" s="4" t="str">
        <f>IF(ISERROR(_xlfn.XMATCH(B994,newlist!B:B,0)),"not found","found")</f>
        <v>found</v>
      </c>
    </row>
    <row r="995" spans="1:3" hidden="1" x14ac:dyDescent="0.5">
      <c r="A995" t="s">
        <v>1051</v>
      </c>
      <c r="B995" t="s">
        <v>2263</v>
      </c>
      <c r="C995" s="4" t="str">
        <f>IF(ISERROR(_xlfn.XMATCH(B995,newlist!B:B,0)),"not found","found")</f>
        <v>found</v>
      </c>
    </row>
    <row r="996" spans="1:3" hidden="1" x14ac:dyDescent="0.5">
      <c r="A996" t="s">
        <v>1051</v>
      </c>
      <c r="B996" t="s">
        <v>2319</v>
      </c>
      <c r="C996" s="4" t="str">
        <f>IF(ISERROR(_xlfn.XMATCH(B996,newlist!B:B,0)),"not found","found")</f>
        <v>found</v>
      </c>
    </row>
    <row r="997" spans="1:3" hidden="1" x14ac:dyDescent="0.5">
      <c r="A997" t="s">
        <v>1051</v>
      </c>
      <c r="B997" t="s">
        <v>1367</v>
      </c>
      <c r="C997" s="4" t="str">
        <f>IF(ISERROR(_xlfn.XMATCH(B997,newlist!B:B,0)),"not found","found")</f>
        <v>found</v>
      </c>
    </row>
    <row r="998" spans="1:3" hidden="1" x14ac:dyDescent="0.5">
      <c r="A998" t="s">
        <v>1051</v>
      </c>
      <c r="B998" t="s">
        <v>1369</v>
      </c>
      <c r="C998" s="4" t="str">
        <f>IF(ISERROR(_xlfn.XMATCH(B998,newlist!B:B,0)),"not found","found")</f>
        <v>found</v>
      </c>
    </row>
    <row r="999" spans="1:3" hidden="1" x14ac:dyDescent="0.5">
      <c r="A999" t="s">
        <v>1051</v>
      </c>
      <c r="B999" t="s">
        <v>2043</v>
      </c>
      <c r="C999" s="4" t="str">
        <f>IF(ISERROR(_xlfn.XMATCH(B999,newlist!B:B,0)),"not found","found")</f>
        <v>found</v>
      </c>
    </row>
    <row r="1000" spans="1:3" hidden="1" x14ac:dyDescent="0.5">
      <c r="A1000" t="s">
        <v>1051</v>
      </c>
      <c r="B1000" t="s">
        <v>2253</v>
      </c>
      <c r="C1000" s="4" t="str">
        <f>IF(ISERROR(_xlfn.XMATCH(B1000,newlist!B:B,0)),"not found","found")</f>
        <v>found</v>
      </c>
    </row>
    <row r="1001" spans="1:3" hidden="1" x14ac:dyDescent="0.5">
      <c r="A1001" t="s">
        <v>1051</v>
      </c>
      <c r="B1001" t="s">
        <v>2347</v>
      </c>
      <c r="C1001" s="4" t="str">
        <f>IF(ISERROR(_xlfn.XMATCH(B1001,newlist!B:B,0)),"not found","found")</f>
        <v>found</v>
      </c>
    </row>
    <row r="1002" spans="1:3" hidden="1" x14ac:dyDescent="0.5">
      <c r="A1002" t="s">
        <v>1051</v>
      </c>
      <c r="B1002" t="s">
        <v>1609</v>
      </c>
      <c r="C1002" s="4" t="str">
        <f>IF(ISERROR(_xlfn.XMATCH(B1002,newlist!B:B,0)),"not found","found")</f>
        <v>found</v>
      </c>
    </row>
    <row r="1003" spans="1:3" hidden="1" x14ac:dyDescent="0.5">
      <c r="A1003" t="s">
        <v>1051</v>
      </c>
      <c r="B1003" t="s">
        <v>1217</v>
      </c>
      <c r="C1003" s="4" t="str">
        <f>IF(ISERROR(_xlfn.XMATCH(B1003,newlist!B:B,0)),"not found","found")</f>
        <v>found</v>
      </c>
    </row>
    <row r="1004" spans="1:3" hidden="1" x14ac:dyDescent="0.5">
      <c r="A1004" t="s">
        <v>1051</v>
      </c>
      <c r="B1004" t="s">
        <v>2103</v>
      </c>
      <c r="C1004" s="4" t="str">
        <f>IF(ISERROR(_xlfn.XMATCH(B1004,newlist!B:B,0)),"not found","found")</f>
        <v>found</v>
      </c>
    </row>
    <row r="1005" spans="1:3" hidden="1" x14ac:dyDescent="0.5">
      <c r="A1005" t="s">
        <v>1051</v>
      </c>
      <c r="B1005" t="s">
        <v>2193</v>
      </c>
      <c r="C1005" s="4" t="str">
        <f>IF(ISERROR(_xlfn.XMATCH(B1005,newlist!B:B,0)),"not found","found")</f>
        <v>found</v>
      </c>
    </row>
    <row r="1006" spans="1:3" hidden="1" x14ac:dyDescent="0.5">
      <c r="A1006" t="s">
        <v>1051</v>
      </c>
      <c r="B1006" t="s">
        <v>2375</v>
      </c>
      <c r="C1006" s="4" t="str">
        <f>IF(ISERROR(_xlfn.XMATCH(B1006,newlist!B:B,0)),"not found","found")</f>
        <v>found</v>
      </c>
    </row>
    <row r="1007" spans="1:3" hidden="1" x14ac:dyDescent="0.5">
      <c r="A1007" t="s">
        <v>1051</v>
      </c>
      <c r="B1007" t="s">
        <v>1741</v>
      </c>
      <c r="C1007" s="4" t="str">
        <f>IF(ISERROR(_xlfn.XMATCH(B1007,newlist!B:B,0)),"not found","found")</f>
        <v>found</v>
      </c>
    </row>
    <row r="1008" spans="1:3" hidden="1" x14ac:dyDescent="0.5">
      <c r="A1008" t="s">
        <v>1051</v>
      </c>
      <c r="B1008" t="s">
        <v>1385</v>
      </c>
      <c r="C1008" s="4" t="str">
        <f>IF(ISERROR(_xlfn.XMATCH(B1008,newlist!B:B,0)),"not found","found")</f>
        <v>found</v>
      </c>
    </row>
    <row r="1009" spans="1:3" hidden="1" x14ac:dyDescent="0.5">
      <c r="A1009" t="s">
        <v>1051</v>
      </c>
      <c r="B1009" t="s">
        <v>1731</v>
      </c>
      <c r="C1009" s="4" t="str">
        <f>IF(ISERROR(_xlfn.XMATCH(B1009,newlist!B:B,0)),"not found","found")</f>
        <v>found</v>
      </c>
    </row>
    <row r="1010" spans="1:3" hidden="1" x14ac:dyDescent="0.5">
      <c r="A1010" t="s">
        <v>1051</v>
      </c>
      <c r="B1010" t="s">
        <v>1355</v>
      </c>
      <c r="C1010" s="4" t="str">
        <f>IF(ISERROR(_xlfn.XMATCH(B1010,newlist!B:B,0)),"not found","found")</f>
        <v>found</v>
      </c>
    </row>
    <row r="1011" spans="1:3" hidden="1" x14ac:dyDescent="0.5">
      <c r="A1011" t="s">
        <v>1051</v>
      </c>
      <c r="B1011" t="s">
        <v>2071</v>
      </c>
      <c r="C1011" s="4" t="str">
        <f>IF(ISERROR(_xlfn.XMATCH(B1011,newlist!B:B,0)),"not found","found")</f>
        <v>found</v>
      </c>
    </row>
    <row r="1012" spans="1:3" hidden="1" x14ac:dyDescent="0.5">
      <c r="A1012" t="s">
        <v>1051</v>
      </c>
      <c r="B1012" t="s">
        <v>1101</v>
      </c>
      <c r="C1012" s="4" t="str">
        <f>IF(ISERROR(_xlfn.XMATCH(B1012,newlist!B:B,0)),"not found","found")</f>
        <v>found</v>
      </c>
    </row>
    <row r="1013" spans="1:3" hidden="1" x14ac:dyDescent="0.5">
      <c r="A1013" t="s">
        <v>1051</v>
      </c>
      <c r="B1013" t="s">
        <v>2365</v>
      </c>
      <c r="C1013" s="4" t="str">
        <f>IF(ISERROR(_xlfn.XMATCH(B1013,newlist!B:B,0)),"not found","found")</f>
        <v>found</v>
      </c>
    </row>
    <row r="1014" spans="1:3" hidden="1" x14ac:dyDescent="0.5">
      <c r="A1014" t="s">
        <v>1051</v>
      </c>
      <c r="B1014" t="s">
        <v>2653</v>
      </c>
      <c r="C1014" s="4" t="str">
        <f>IF(ISERROR(_xlfn.XMATCH(B1014,newlist!B:B,0)),"not found","found")</f>
        <v>found</v>
      </c>
    </row>
    <row r="1015" spans="1:3" hidden="1" x14ac:dyDescent="0.5">
      <c r="A1015" t="s">
        <v>1051</v>
      </c>
      <c r="B1015" t="s">
        <v>2137</v>
      </c>
      <c r="C1015" s="4" t="str">
        <f>IF(ISERROR(_xlfn.XMATCH(B1015,newlist!B:B,0)),"not found","found")</f>
        <v>found</v>
      </c>
    </row>
    <row r="1016" spans="1:3" hidden="1" x14ac:dyDescent="0.5">
      <c r="A1016" t="s">
        <v>1051</v>
      </c>
      <c r="B1016" t="s">
        <v>1801</v>
      </c>
      <c r="C1016" s="4" t="str">
        <f>IF(ISERROR(_xlfn.XMATCH(B1016,newlist!B:B,0)),"not found","found")</f>
        <v>found</v>
      </c>
    </row>
    <row r="1017" spans="1:3" hidden="1" x14ac:dyDescent="0.5">
      <c r="A1017" t="s">
        <v>1051</v>
      </c>
      <c r="B1017" t="s">
        <v>1719</v>
      </c>
      <c r="C1017" s="4" t="str">
        <f>IF(ISERROR(_xlfn.XMATCH(B1017,newlist!B:B,0)),"not found","found")</f>
        <v>found</v>
      </c>
    </row>
    <row r="1018" spans="1:3" hidden="1" x14ac:dyDescent="0.5">
      <c r="A1018" t="s">
        <v>1051</v>
      </c>
      <c r="B1018" t="s">
        <v>1337</v>
      </c>
      <c r="C1018" s="4" t="str">
        <f>IF(ISERROR(_xlfn.XMATCH(B1018,newlist!B:B,0)),"not found","found")</f>
        <v>found</v>
      </c>
    </row>
    <row r="1019" spans="1:3" hidden="1" x14ac:dyDescent="0.5">
      <c r="A1019" t="s">
        <v>1051</v>
      </c>
      <c r="B1019" t="s">
        <v>2001</v>
      </c>
      <c r="C1019" s="4" t="str">
        <f>IF(ISERROR(_xlfn.XMATCH(B1019,newlist!B:B,0)),"not found","found")</f>
        <v>found</v>
      </c>
    </row>
    <row r="1020" spans="1:3" hidden="1" x14ac:dyDescent="0.5">
      <c r="A1020" t="s">
        <v>1051</v>
      </c>
      <c r="B1020" t="s">
        <v>1983</v>
      </c>
      <c r="C1020" s="4" t="str">
        <f>IF(ISERROR(_xlfn.XMATCH(B1020,newlist!B:B,0)),"not found","found")</f>
        <v>found</v>
      </c>
    </row>
    <row r="1021" spans="1:3" hidden="1" x14ac:dyDescent="0.5">
      <c r="A1021" t="s">
        <v>1051</v>
      </c>
      <c r="B1021" t="s">
        <v>1151</v>
      </c>
      <c r="C1021" s="4" t="str">
        <f>IF(ISERROR(_xlfn.XMATCH(B1021,newlist!B:B,0)),"not found","found")</f>
        <v>found</v>
      </c>
    </row>
    <row r="1022" spans="1:3" hidden="1" x14ac:dyDescent="0.5">
      <c r="A1022" t="s">
        <v>1051</v>
      </c>
      <c r="B1022" t="s">
        <v>2267</v>
      </c>
      <c r="C1022" s="4" t="str">
        <f>IF(ISERROR(_xlfn.XMATCH(B1022,newlist!B:B,0)),"not found","found")</f>
        <v>found</v>
      </c>
    </row>
    <row r="1023" spans="1:3" hidden="1" x14ac:dyDescent="0.5">
      <c r="A1023" t="s">
        <v>1051</v>
      </c>
      <c r="B1023" t="s">
        <v>1341</v>
      </c>
      <c r="C1023" s="4" t="str">
        <f>IF(ISERROR(_xlfn.XMATCH(B1023,newlist!B:B,0)),"not found","found")</f>
        <v>found</v>
      </c>
    </row>
    <row r="1024" spans="1:3" hidden="1" x14ac:dyDescent="0.5">
      <c r="A1024" t="s">
        <v>1051</v>
      </c>
      <c r="B1024" t="s">
        <v>1981</v>
      </c>
      <c r="C1024" s="4" t="str">
        <f>IF(ISERROR(_xlfn.XMATCH(B1024,newlist!B:B,0)),"not found","found")</f>
        <v>found</v>
      </c>
    </row>
    <row r="1025" spans="1:3" hidden="1" x14ac:dyDescent="0.5">
      <c r="A1025" t="s">
        <v>1051</v>
      </c>
      <c r="B1025" t="s">
        <v>1793</v>
      </c>
      <c r="C1025" s="4" t="str">
        <f>IF(ISERROR(_xlfn.XMATCH(B1025,newlist!B:B,0)),"not found","found")</f>
        <v>found</v>
      </c>
    </row>
    <row r="1026" spans="1:3" hidden="1" x14ac:dyDescent="0.5">
      <c r="A1026" t="s">
        <v>1051</v>
      </c>
      <c r="B1026" t="s">
        <v>1389</v>
      </c>
      <c r="C1026" s="4" t="str">
        <f>IF(ISERROR(_xlfn.XMATCH(B1026,newlist!B:B,0)),"not found","found")</f>
        <v>found</v>
      </c>
    </row>
    <row r="1027" spans="1:3" hidden="1" x14ac:dyDescent="0.5">
      <c r="A1027" t="s">
        <v>1051</v>
      </c>
      <c r="B1027" t="s">
        <v>2697</v>
      </c>
      <c r="C1027" s="4" t="str">
        <f>IF(ISERROR(_xlfn.XMATCH(B1027,newlist!B:B,0)),"not found","found")</f>
        <v>found</v>
      </c>
    </row>
    <row r="1028" spans="1:3" hidden="1" x14ac:dyDescent="0.5">
      <c r="A1028" t="s">
        <v>1051</v>
      </c>
      <c r="B1028" t="s">
        <v>1925</v>
      </c>
      <c r="C1028" s="4" t="str">
        <f>IF(ISERROR(_xlfn.XMATCH(B1028,newlist!B:B,0)),"not found","found")</f>
        <v>found</v>
      </c>
    </row>
    <row r="1029" spans="1:3" hidden="1" x14ac:dyDescent="0.5">
      <c r="A1029" t="s">
        <v>1051</v>
      </c>
      <c r="B1029" t="s">
        <v>2127</v>
      </c>
      <c r="C1029" s="4" t="str">
        <f>IF(ISERROR(_xlfn.XMATCH(B1029,newlist!B:B,0)),"not found","found")</f>
        <v>found</v>
      </c>
    </row>
    <row r="1030" spans="1:3" hidden="1" x14ac:dyDescent="0.5">
      <c r="A1030" t="s">
        <v>1051</v>
      </c>
      <c r="B1030" t="s">
        <v>2211</v>
      </c>
      <c r="C1030" s="4" t="str">
        <f>IF(ISERROR(_xlfn.XMATCH(B1030,newlist!B:B,0)),"not found","found")</f>
        <v>found</v>
      </c>
    </row>
    <row r="1031" spans="1:3" hidden="1" x14ac:dyDescent="0.5">
      <c r="A1031" t="s">
        <v>1051</v>
      </c>
      <c r="B1031" t="s">
        <v>2087</v>
      </c>
      <c r="C1031" s="4" t="str">
        <f>IF(ISERROR(_xlfn.XMATCH(B1031,newlist!B:B,0)),"not found","found")</f>
        <v>found</v>
      </c>
    </row>
    <row r="1032" spans="1:3" hidden="1" x14ac:dyDescent="0.5">
      <c r="A1032" t="s">
        <v>1051</v>
      </c>
      <c r="B1032" t="s">
        <v>2733</v>
      </c>
      <c r="C1032" s="4" t="str">
        <f>IF(ISERROR(_xlfn.XMATCH(B1032,newlist!B:B,0)),"not found","found")</f>
        <v>found</v>
      </c>
    </row>
    <row r="1033" spans="1:3" hidden="1" x14ac:dyDescent="0.5">
      <c r="A1033" t="s">
        <v>1051</v>
      </c>
      <c r="B1033" t="s">
        <v>2187</v>
      </c>
      <c r="C1033" s="4" t="str">
        <f>IF(ISERROR(_xlfn.XMATCH(B1033,newlist!B:B,0)),"not found","found")</f>
        <v>found</v>
      </c>
    </row>
    <row r="1034" spans="1:3" hidden="1" x14ac:dyDescent="0.5">
      <c r="A1034" t="s">
        <v>1051</v>
      </c>
      <c r="B1034" t="s">
        <v>2089</v>
      </c>
      <c r="C1034" s="4" t="str">
        <f>IF(ISERROR(_xlfn.XMATCH(B1034,newlist!B:B,0)),"not found","found")</f>
        <v>found</v>
      </c>
    </row>
    <row r="1035" spans="1:3" hidden="1" x14ac:dyDescent="0.5">
      <c r="A1035" t="s">
        <v>1051</v>
      </c>
      <c r="B1035" t="s">
        <v>2729</v>
      </c>
      <c r="C1035" s="4" t="str">
        <f>IF(ISERROR(_xlfn.XMATCH(B1035,newlist!B:B,0)),"not found","found")</f>
        <v>found</v>
      </c>
    </row>
    <row r="1036" spans="1:3" hidden="1" x14ac:dyDescent="0.5">
      <c r="A1036" t="s">
        <v>1051</v>
      </c>
      <c r="B1036" t="s">
        <v>1615</v>
      </c>
      <c r="C1036" s="4" t="str">
        <f>IF(ISERROR(_xlfn.XMATCH(B1036,newlist!B:B,0)),"not found","found")</f>
        <v>found</v>
      </c>
    </row>
    <row r="1037" spans="1:3" hidden="1" x14ac:dyDescent="0.5">
      <c r="A1037" t="s">
        <v>1051</v>
      </c>
      <c r="B1037" t="s">
        <v>2063</v>
      </c>
      <c r="C1037" s="4" t="str">
        <f>IF(ISERROR(_xlfn.XMATCH(B1037,newlist!B:B,0)),"not found","found")</f>
        <v>found</v>
      </c>
    </row>
    <row r="1038" spans="1:3" hidden="1" x14ac:dyDescent="0.5">
      <c r="A1038" t="s">
        <v>1051</v>
      </c>
      <c r="B1038" t="s">
        <v>2017</v>
      </c>
      <c r="C1038" s="4" t="str">
        <f>IF(ISERROR(_xlfn.XMATCH(B1038,newlist!B:B,0)),"not found","found")</f>
        <v>found</v>
      </c>
    </row>
    <row r="1039" spans="1:3" hidden="1" x14ac:dyDescent="0.5">
      <c r="A1039" t="s">
        <v>1051</v>
      </c>
      <c r="B1039" t="s">
        <v>2073</v>
      </c>
      <c r="C1039" s="4" t="str">
        <f>IF(ISERROR(_xlfn.XMATCH(B1039,newlist!B:B,0)),"not found","found")</f>
        <v>found</v>
      </c>
    </row>
    <row r="1040" spans="1:3" hidden="1" x14ac:dyDescent="0.5">
      <c r="A1040" t="s">
        <v>1051</v>
      </c>
      <c r="B1040" t="s">
        <v>1989</v>
      </c>
      <c r="C1040" s="4" t="str">
        <f>IF(ISERROR(_xlfn.XMATCH(B1040,newlist!B:B,0)),"not found","found")</f>
        <v>found</v>
      </c>
    </row>
    <row r="1041" spans="1:3" hidden="1" x14ac:dyDescent="0.5">
      <c r="A1041" t="s">
        <v>1051</v>
      </c>
      <c r="B1041" t="s">
        <v>2237</v>
      </c>
      <c r="C1041" s="4" t="str">
        <f>IF(ISERROR(_xlfn.XMATCH(B1041,newlist!B:B,0)),"not found","found")</f>
        <v>found</v>
      </c>
    </row>
    <row r="1042" spans="1:3" hidden="1" x14ac:dyDescent="0.5">
      <c r="A1042" t="s">
        <v>1051</v>
      </c>
      <c r="B1042" t="s">
        <v>2773</v>
      </c>
      <c r="C1042" s="4" t="str">
        <f>IF(ISERROR(_xlfn.XMATCH(B1042,newlist!B:B,0)),"not found","found")</f>
        <v>found</v>
      </c>
    </row>
    <row r="1043" spans="1:3" hidden="1" x14ac:dyDescent="0.5">
      <c r="A1043" t="s">
        <v>1051</v>
      </c>
      <c r="B1043" t="s">
        <v>2767</v>
      </c>
      <c r="C1043" s="4" t="str">
        <f>IF(ISERROR(_xlfn.XMATCH(B1043,newlist!B:B,0)),"not found","found")</f>
        <v>found</v>
      </c>
    </row>
    <row r="1044" spans="1:3" hidden="1" x14ac:dyDescent="0.5">
      <c r="A1044" t="s">
        <v>1051</v>
      </c>
      <c r="B1044" t="s">
        <v>1951</v>
      </c>
      <c r="C1044" s="4" t="str">
        <f>IF(ISERROR(_xlfn.XMATCH(B1044,newlist!B:B,0)),"not found","found")</f>
        <v>found</v>
      </c>
    </row>
    <row r="1045" spans="1:3" hidden="1" x14ac:dyDescent="0.5">
      <c r="A1045" t="s">
        <v>1051</v>
      </c>
      <c r="B1045" t="s">
        <v>1933</v>
      </c>
      <c r="C1045" s="4" t="str">
        <f>IF(ISERROR(_xlfn.XMATCH(B1045,newlist!B:B,0)),"not found","found")</f>
        <v>found</v>
      </c>
    </row>
    <row r="1046" spans="1:3" hidden="1" x14ac:dyDescent="0.5">
      <c r="A1046" t="s">
        <v>1051</v>
      </c>
      <c r="B1046" t="s">
        <v>1729</v>
      </c>
      <c r="C1046" s="4" t="str">
        <f>IF(ISERROR(_xlfn.XMATCH(B1046,newlist!B:B,0)),"not found","found")</f>
        <v>found</v>
      </c>
    </row>
    <row r="1047" spans="1:3" hidden="1" x14ac:dyDescent="0.5">
      <c r="A1047" t="s">
        <v>1051</v>
      </c>
      <c r="B1047" t="s">
        <v>2747</v>
      </c>
      <c r="C1047" s="4" t="str">
        <f>IF(ISERROR(_xlfn.XMATCH(B1047,newlist!B:B,0)),"not found","found")</f>
        <v>found</v>
      </c>
    </row>
    <row r="1048" spans="1:3" hidden="1" x14ac:dyDescent="0.5">
      <c r="A1048" t="s">
        <v>1051</v>
      </c>
      <c r="B1048" t="s">
        <v>1435</v>
      </c>
      <c r="C1048" s="4" t="str">
        <f>IF(ISERROR(_xlfn.XMATCH(B1048,newlist!B:B,0)),"not found","found")</f>
        <v>found</v>
      </c>
    </row>
    <row r="1049" spans="1:3" hidden="1" x14ac:dyDescent="0.5">
      <c r="A1049" t="s">
        <v>1051</v>
      </c>
      <c r="B1049" t="s">
        <v>2537</v>
      </c>
      <c r="C1049" s="4" t="str">
        <f>IF(ISERROR(_xlfn.XMATCH(B1049,newlist!B:B,0)),"not found","found")</f>
        <v>found</v>
      </c>
    </row>
    <row r="1050" spans="1:3" hidden="1" x14ac:dyDescent="0.5">
      <c r="A1050" t="s">
        <v>1051</v>
      </c>
      <c r="B1050" t="s">
        <v>1357</v>
      </c>
      <c r="C1050" s="4" t="str">
        <f>IF(ISERROR(_xlfn.XMATCH(B1050,newlist!B:B,0)),"not found","found")</f>
        <v>found</v>
      </c>
    </row>
    <row r="1051" spans="1:3" hidden="1" x14ac:dyDescent="0.5">
      <c r="A1051" t="s">
        <v>1051</v>
      </c>
      <c r="B1051" t="s">
        <v>1347</v>
      </c>
      <c r="C1051" s="4" t="str">
        <f>IF(ISERROR(_xlfn.XMATCH(B1051,newlist!B:B,0)),"not found","found")</f>
        <v>found</v>
      </c>
    </row>
    <row r="1052" spans="1:3" hidden="1" x14ac:dyDescent="0.5">
      <c r="A1052" t="s">
        <v>1051</v>
      </c>
      <c r="B1052" t="s">
        <v>1637</v>
      </c>
      <c r="C1052" s="4" t="str">
        <f>IF(ISERROR(_xlfn.XMATCH(B1052,newlist!B:B,0)),"not found","found")</f>
        <v>found</v>
      </c>
    </row>
    <row r="1053" spans="1:3" hidden="1" x14ac:dyDescent="0.5">
      <c r="A1053" t="s">
        <v>1051</v>
      </c>
      <c r="B1053" t="s">
        <v>1125</v>
      </c>
      <c r="C1053" s="4" t="str">
        <f>IF(ISERROR(_xlfn.XMATCH(B1053,newlist!B:B,0)),"not found","found")</f>
        <v>found</v>
      </c>
    </row>
    <row r="1054" spans="1:3" hidden="1" x14ac:dyDescent="0.5">
      <c r="A1054" t="s">
        <v>1051</v>
      </c>
      <c r="B1054" t="s">
        <v>2225</v>
      </c>
      <c r="C1054" s="4" t="str">
        <f>IF(ISERROR(_xlfn.XMATCH(B1054,newlist!B:B,0)),"not found","found")</f>
        <v>found</v>
      </c>
    </row>
    <row r="1055" spans="1:3" hidden="1" x14ac:dyDescent="0.5">
      <c r="A1055" t="s">
        <v>1051</v>
      </c>
      <c r="B1055" t="s">
        <v>2077</v>
      </c>
      <c r="C1055" s="4" t="str">
        <f>IF(ISERROR(_xlfn.XMATCH(B1055,newlist!B:B,0)),"not found","found")</f>
        <v>found</v>
      </c>
    </row>
    <row r="1056" spans="1:3" hidden="1" x14ac:dyDescent="0.5">
      <c r="A1056" t="s">
        <v>1051</v>
      </c>
      <c r="B1056" t="s">
        <v>1409</v>
      </c>
      <c r="C1056" s="4" t="str">
        <f>IF(ISERROR(_xlfn.XMATCH(B1056,newlist!B:B,0)),"not found","found")</f>
        <v>found</v>
      </c>
    </row>
    <row r="1057" spans="1:3" hidden="1" x14ac:dyDescent="0.5">
      <c r="A1057" t="s">
        <v>1051</v>
      </c>
      <c r="B1057" t="s">
        <v>1395</v>
      </c>
      <c r="C1057" s="4" t="str">
        <f>IF(ISERROR(_xlfn.XMATCH(B1057,newlist!B:B,0)),"not found","found")</f>
        <v>found</v>
      </c>
    </row>
    <row r="1058" spans="1:3" hidden="1" x14ac:dyDescent="0.5">
      <c r="A1058" t="s">
        <v>1051</v>
      </c>
      <c r="B1058" t="s">
        <v>2357</v>
      </c>
      <c r="C1058" s="4" t="str">
        <f>IF(ISERROR(_xlfn.XMATCH(B1058,newlist!B:B,0)),"not found","found")</f>
        <v>found</v>
      </c>
    </row>
    <row r="1059" spans="1:3" hidden="1" x14ac:dyDescent="0.5">
      <c r="A1059" t="s">
        <v>1051</v>
      </c>
      <c r="B1059" t="s">
        <v>2551</v>
      </c>
      <c r="C1059" s="4" t="str">
        <f>IF(ISERROR(_xlfn.XMATCH(B1059,newlist!B:B,0)),"not found","found")</f>
        <v>found</v>
      </c>
    </row>
    <row r="1060" spans="1:3" hidden="1" x14ac:dyDescent="0.5">
      <c r="A1060" t="s">
        <v>1051</v>
      </c>
      <c r="B1060" t="s">
        <v>2331</v>
      </c>
      <c r="C1060" s="4" t="str">
        <f>IF(ISERROR(_xlfn.XMATCH(B1060,newlist!B:B,0)),"not found","found")</f>
        <v>found</v>
      </c>
    </row>
    <row r="1061" spans="1:3" hidden="1" x14ac:dyDescent="0.5">
      <c r="A1061" t="s">
        <v>1051</v>
      </c>
      <c r="B1061" t="s">
        <v>1405</v>
      </c>
      <c r="C1061" s="4" t="str">
        <f>IF(ISERROR(_xlfn.XMATCH(B1061,newlist!B:B,0)),"not found","found")</f>
        <v>found</v>
      </c>
    </row>
    <row r="1062" spans="1:3" hidden="1" x14ac:dyDescent="0.5">
      <c r="A1062" t="s">
        <v>1051</v>
      </c>
      <c r="B1062" t="s">
        <v>1693</v>
      </c>
      <c r="C1062" s="4" t="str">
        <f>IF(ISERROR(_xlfn.XMATCH(B1062,newlist!B:B,0)),"not found","found")</f>
        <v>found</v>
      </c>
    </row>
    <row r="1063" spans="1:3" hidden="1" x14ac:dyDescent="0.5">
      <c r="A1063" t="s">
        <v>1051</v>
      </c>
      <c r="B1063" t="s">
        <v>1947</v>
      </c>
      <c r="C1063" s="4" t="str">
        <f>IF(ISERROR(_xlfn.XMATCH(B1063,newlist!B:B,0)),"not found","found")</f>
        <v>found</v>
      </c>
    </row>
    <row r="1064" spans="1:3" hidden="1" x14ac:dyDescent="0.5">
      <c r="A1064" t="s">
        <v>1051</v>
      </c>
      <c r="B1064" t="s">
        <v>1671</v>
      </c>
      <c r="C1064" s="4" t="str">
        <f>IF(ISERROR(_xlfn.XMATCH(B1064,newlist!B:B,0)),"not found","found")</f>
        <v>found</v>
      </c>
    </row>
    <row r="1065" spans="1:3" hidden="1" x14ac:dyDescent="0.5">
      <c r="A1065" t="s">
        <v>1051</v>
      </c>
      <c r="B1065" t="s">
        <v>1467</v>
      </c>
      <c r="C1065" s="4" t="str">
        <f>IF(ISERROR(_xlfn.XMATCH(B1065,newlist!B:B,0)),"not found","found")</f>
        <v>found</v>
      </c>
    </row>
    <row r="1066" spans="1:3" hidden="1" x14ac:dyDescent="0.5">
      <c r="A1066" t="s">
        <v>1051</v>
      </c>
      <c r="B1066" t="s">
        <v>2233</v>
      </c>
      <c r="C1066" s="4" t="str">
        <f>IF(ISERROR(_xlfn.XMATCH(B1066,newlist!B:B,0)),"not found","found")</f>
        <v>found</v>
      </c>
    </row>
    <row r="1067" spans="1:3" hidden="1" x14ac:dyDescent="0.5">
      <c r="A1067" t="s">
        <v>1051</v>
      </c>
      <c r="B1067" t="s">
        <v>1393</v>
      </c>
      <c r="C1067" s="4" t="str">
        <f>IF(ISERROR(_xlfn.XMATCH(B1067,newlist!B:B,0)),"not found","found")</f>
        <v>found</v>
      </c>
    </row>
    <row r="1068" spans="1:3" hidden="1" x14ac:dyDescent="0.5">
      <c r="A1068" t="s">
        <v>1051</v>
      </c>
      <c r="B1068" t="s">
        <v>1807</v>
      </c>
      <c r="C1068" s="4" t="str">
        <f>IF(ISERROR(_xlfn.XMATCH(B1068,newlist!B:B,0)),"not found","found")</f>
        <v>found</v>
      </c>
    </row>
    <row r="1069" spans="1:3" hidden="1" x14ac:dyDescent="0.5">
      <c r="A1069" t="s">
        <v>1051</v>
      </c>
      <c r="B1069" t="s">
        <v>2015</v>
      </c>
      <c r="C1069" s="4" t="str">
        <f>IF(ISERROR(_xlfn.XMATCH(B1069,newlist!B:B,0)),"not found","found")</f>
        <v>found</v>
      </c>
    </row>
    <row r="1070" spans="1:3" hidden="1" x14ac:dyDescent="0.5">
      <c r="A1070" t="s">
        <v>1051</v>
      </c>
      <c r="B1070" t="s">
        <v>1343</v>
      </c>
      <c r="C1070" s="4" t="str">
        <f>IF(ISERROR(_xlfn.XMATCH(B1070,newlist!B:B,0)),"not found","found")</f>
        <v>found</v>
      </c>
    </row>
    <row r="1071" spans="1:3" hidden="1" x14ac:dyDescent="0.5">
      <c r="A1071" t="s">
        <v>1051</v>
      </c>
      <c r="B1071" t="s">
        <v>1699</v>
      </c>
      <c r="C1071" s="4" t="str">
        <f>IF(ISERROR(_xlfn.XMATCH(B1071,newlist!B:B,0)),"not found","found")</f>
        <v>found</v>
      </c>
    </row>
    <row r="1072" spans="1:3" hidden="1" x14ac:dyDescent="0.5">
      <c r="A1072" t="s">
        <v>1051</v>
      </c>
      <c r="B1072" t="s">
        <v>2283</v>
      </c>
      <c r="C1072" s="4" t="str">
        <f>IF(ISERROR(_xlfn.XMATCH(B1072,newlist!B:B,0)),"not found","found")</f>
        <v>found</v>
      </c>
    </row>
    <row r="1073" spans="1:3" hidden="1" x14ac:dyDescent="0.5">
      <c r="A1073" t="s">
        <v>1051</v>
      </c>
      <c r="B1073" t="s">
        <v>1775</v>
      </c>
      <c r="C1073" s="4" t="str">
        <f>IF(ISERROR(_xlfn.XMATCH(B1073,newlist!B:B,0)),"not found","found")</f>
        <v>found</v>
      </c>
    </row>
    <row r="1074" spans="1:3" hidden="1" x14ac:dyDescent="0.5">
      <c r="A1074" t="s">
        <v>1051</v>
      </c>
      <c r="B1074" t="s">
        <v>2287</v>
      </c>
      <c r="C1074" s="4" t="str">
        <f>IF(ISERROR(_xlfn.XMATCH(B1074,newlist!B:B,0)),"not found","found")</f>
        <v>found</v>
      </c>
    </row>
    <row r="1075" spans="1:3" hidden="1" x14ac:dyDescent="0.5">
      <c r="A1075" t="s">
        <v>1051</v>
      </c>
      <c r="B1075" t="s">
        <v>2555</v>
      </c>
      <c r="C1075" s="4" t="str">
        <f>IF(ISERROR(_xlfn.XMATCH(B1075,newlist!B:B,0)),"not found","found")</f>
        <v>found</v>
      </c>
    </row>
    <row r="1076" spans="1:3" hidden="1" x14ac:dyDescent="0.5">
      <c r="A1076" t="s">
        <v>1051</v>
      </c>
      <c r="B1076" t="s">
        <v>1339</v>
      </c>
      <c r="C1076" s="4" t="str">
        <f>IF(ISERROR(_xlfn.XMATCH(B1076,newlist!B:B,0)),"not found","found")</f>
        <v>found</v>
      </c>
    </row>
    <row r="1077" spans="1:3" hidden="1" x14ac:dyDescent="0.5">
      <c r="A1077" t="s">
        <v>1051</v>
      </c>
      <c r="B1077" t="s">
        <v>2019</v>
      </c>
      <c r="C1077" s="4" t="str">
        <f>IF(ISERROR(_xlfn.XMATCH(B1077,newlist!B:B,0)),"not found","found")</f>
        <v>found</v>
      </c>
    </row>
    <row r="1078" spans="1:3" hidden="1" x14ac:dyDescent="0.5">
      <c r="A1078" t="s">
        <v>1051</v>
      </c>
      <c r="B1078" t="s">
        <v>1399</v>
      </c>
      <c r="C1078" s="4" t="str">
        <f>IF(ISERROR(_xlfn.XMATCH(B1078,newlist!B:B,0)),"not found","found")</f>
        <v>found</v>
      </c>
    </row>
    <row r="1079" spans="1:3" x14ac:dyDescent="0.5">
      <c r="A1079" t="s">
        <v>1051</v>
      </c>
      <c r="B1079" t="s">
        <v>2810</v>
      </c>
      <c r="C1079" s="4" t="str">
        <f>IF(ISERROR(_xlfn.XMATCH(B1079,newlist!B:B,0)),"not found","found")</f>
        <v>not found</v>
      </c>
    </row>
    <row r="1080" spans="1:3" hidden="1" x14ac:dyDescent="0.5">
      <c r="A1080" t="s">
        <v>1051</v>
      </c>
      <c r="B1080" t="s">
        <v>2361</v>
      </c>
      <c r="C1080" s="4" t="str">
        <f>IF(ISERROR(_xlfn.XMATCH(B1080,newlist!B:B,0)),"not found","found")</f>
        <v>found</v>
      </c>
    </row>
    <row r="1081" spans="1:3" hidden="1" x14ac:dyDescent="0.5">
      <c r="A1081" t="s">
        <v>1051</v>
      </c>
      <c r="B1081" t="s">
        <v>1461</v>
      </c>
      <c r="C1081" s="4" t="str">
        <f>IF(ISERROR(_xlfn.XMATCH(B1081,newlist!B:B,0)),"not found","found")</f>
        <v>found</v>
      </c>
    </row>
    <row r="1082" spans="1:3" hidden="1" x14ac:dyDescent="0.5">
      <c r="A1082" t="s">
        <v>1051</v>
      </c>
      <c r="B1082" t="s">
        <v>1521</v>
      </c>
      <c r="C1082" s="4" t="str">
        <f>IF(ISERROR(_xlfn.XMATCH(B1082,newlist!B:B,0)),"not found","found")</f>
        <v>found</v>
      </c>
    </row>
    <row r="1083" spans="1:3" hidden="1" x14ac:dyDescent="0.5">
      <c r="A1083" t="s">
        <v>1051</v>
      </c>
      <c r="B1083" t="s">
        <v>1931</v>
      </c>
      <c r="C1083" s="4" t="str">
        <f>IF(ISERROR(_xlfn.XMATCH(B1083,newlist!B:B,0)),"not found","found")</f>
        <v>found</v>
      </c>
    </row>
    <row r="1084" spans="1:3" hidden="1" x14ac:dyDescent="0.5">
      <c r="A1084" t="s">
        <v>1051</v>
      </c>
      <c r="B1084" t="s">
        <v>1923</v>
      </c>
      <c r="C1084" s="4" t="str">
        <f>IF(ISERROR(_xlfn.XMATCH(B1084,newlist!B:B,0)),"not found","found")</f>
        <v>found</v>
      </c>
    </row>
    <row r="1085" spans="1:3" hidden="1" x14ac:dyDescent="0.5">
      <c r="A1085" t="s">
        <v>1051</v>
      </c>
      <c r="B1085" t="s">
        <v>2029</v>
      </c>
      <c r="C1085" s="4" t="str">
        <f>IF(ISERROR(_xlfn.XMATCH(B1085,newlist!B:B,0)),"not found","found")</f>
        <v>found</v>
      </c>
    </row>
    <row r="1086" spans="1:3" hidden="1" x14ac:dyDescent="0.5">
      <c r="A1086" t="s">
        <v>1051</v>
      </c>
      <c r="B1086" t="s">
        <v>1795</v>
      </c>
      <c r="C1086" s="4" t="str">
        <f>IF(ISERROR(_xlfn.XMATCH(B1086,newlist!B:B,0)),"not found","found")</f>
        <v>found</v>
      </c>
    </row>
    <row r="1087" spans="1:3" hidden="1" x14ac:dyDescent="0.5">
      <c r="A1087" t="s">
        <v>1051</v>
      </c>
      <c r="B1087" t="s">
        <v>2101</v>
      </c>
      <c r="C1087" s="4" t="str">
        <f>IF(ISERROR(_xlfn.XMATCH(B1087,newlist!B:B,0)),"not found","found")</f>
        <v>found</v>
      </c>
    </row>
    <row r="1088" spans="1:3" hidden="1" x14ac:dyDescent="0.5">
      <c r="A1088" t="s">
        <v>1051</v>
      </c>
      <c r="B1088" t="s">
        <v>2251</v>
      </c>
      <c r="C1088" s="4" t="str">
        <f>IF(ISERROR(_xlfn.XMATCH(B1088,newlist!B:B,0)),"not found","found")</f>
        <v>found</v>
      </c>
    </row>
    <row r="1089" spans="1:3" hidden="1" x14ac:dyDescent="0.5">
      <c r="A1089" t="s">
        <v>1051</v>
      </c>
      <c r="B1089" t="s">
        <v>2109</v>
      </c>
      <c r="C1089" s="4" t="str">
        <f>IF(ISERROR(_xlfn.XMATCH(B1089,newlist!B:B,0)),"not found","found")</f>
        <v>found</v>
      </c>
    </row>
    <row r="1090" spans="1:3" hidden="1" x14ac:dyDescent="0.5">
      <c r="A1090" t="s">
        <v>1051</v>
      </c>
      <c r="B1090" t="s">
        <v>2241</v>
      </c>
      <c r="C1090" s="4" t="str">
        <f>IF(ISERROR(_xlfn.XMATCH(B1090,newlist!B:B,0)),"not found","found")</f>
        <v>found</v>
      </c>
    </row>
    <row r="1091" spans="1:3" hidden="1" x14ac:dyDescent="0.5">
      <c r="A1091" t="s">
        <v>1051</v>
      </c>
      <c r="B1091" t="s">
        <v>2085</v>
      </c>
      <c r="C1091" s="4" t="str">
        <f>IF(ISERROR(_xlfn.XMATCH(B1091,newlist!B:B,0)),"not found","found")</f>
        <v>found</v>
      </c>
    </row>
    <row r="1092" spans="1:3" hidden="1" x14ac:dyDescent="0.5">
      <c r="A1092" t="s">
        <v>1051</v>
      </c>
      <c r="B1092" t="s">
        <v>2657</v>
      </c>
      <c r="C1092" s="4" t="str">
        <f>IF(ISERROR(_xlfn.XMATCH(B1092,newlist!B:B,0)),"not found","found")</f>
        <v>found</v>
      </c>
    </row>
    <row r="1093" spans="1:3" hidden="1" x14ac:dyDescent="0.5">
      <c r="A1093" t="s">
        <v>1051</v>
      </c>
      <c r="B1093" t="s">
        <v>2699</v>
      </c>
      <c r="C1093" s="4" t="str">
        <f>IF(ISERROR(_xlfn.XMATCH(B1093,newlist!B:B,0)),"not found","found")</f>
        <v>found</v>
      </c>
    </row>
    <row r="1094" spans="1:3" hidden="1" x14ac:dyDescent="0.5">
      <c r="A1094" t="s">
        <v>1051</v>
      </c>
      <c r="B1094" t="s">
        <v>2377</v>
      </c>
      <c r="C1094" s="4" t="str">
        <f>IF(ISERROR(_xlfn.XMATCH(B1094,newlist!B:B,0)),"not found","found")</f>
        <v>found</v>
      </c>
    </row>
    <row r="1095" spans="1:3" hidden="1" x14ac:dyDescent="0.5">
      <c r="A1095" t="s">
        <v>1051</v>
      </c>
      <c r="B1095" t="s">
        <v>1351</v>
      </c>
      <c r="C1095" s="4" t="str">
        <f>IF(ISERROR(_xlfn.XMATCH(B1095,newlist!B:B,0)),"not found","found")</f>
        <v>found</v>
      </c>
    </row>
    <row r="1096" spans="1:3" hidden="1" x14ac:dyDescent="0.5">
      <c r="A1096" t="s">
        <v>1051</v>
      </c>
      <c r="B1096" t="s">
        <v>2427</v>
      </c>
      <c r="C1096" s="4" t="str">
        <f>IF(ISERROR(_xlfn.XMATCH(B1096,newlist!B:B,0)),"not found","found")</f>
        <v>found</v>
      </c>
    </row>
    <row r="1097" spans="1:3" hidden="1" x14ac:dyDescent="0.5">
      <c r="A1097" t="s">
        <v>1051</v>
      </c>
      <c r="B1097" t="s">
        <v>2521</v>
      </c>
      <c r="C1097" s="4" t="str">
        <f>IF(ISERROR(_xlfn.XMATCH(B1097,newlist!B:B,0)),"not found","found")</f>
        <v>found</v>
      </c>
    </row>
    <row r="1098" spans="1:3" hidden="1" x14ac:dyDescent="0.5">
      <c r="A1098" t="s">
        <v>1051</v>
      </c>
      <c r="B1098" t="s">
        <v>2541</v>
      </c>
      <c r="C1098" s="4" t="str">
        <f>IF(ISERROR(_xlfn.XMATCH(B1098,newlist!B:B,0)),"not found","found")</f>
        <v>found</v>
      </c>
    </row>
    <row r="1099" spans="1:3" hidden="1" x14ac:dyDescent="0.5">
      <c r="A1099" t="s">
        <v>1051</v>
      </c>
      <c r="B1099" t="s">
        <v>1323</v>
      </c>
      <c r="C1099" s="4" t="str">
        <f>IF(ISERROR(_xlfn.XMATCH(B1099,newlist!B:B,0)),"not found","found")</f>
        <v>found</v>
      </c>
    </row>
    <row r="1100" spans="1:3" hidden="1" x14ac:dyDescent="0.5">
      <c r="A1100" t="s">
        <v>1051</v>
      </c>
      <c r="B1100" t="s">
        <v>2591</v>
      </c>
      <c r="C1100" s="4" t="str">
        <f>IF(ISERROR(_xlfn.XMATCH(B1100,newlist!B:B,0)),"not found","found")</f>
        <v>found</v>
      </c>
    </row>
    <row r="1101" spans="1:3" hidden="1" x14ac:dyDescent="0.5">
      <c r="A1101" t="s">
        <v>1051</v>
      </c>
      <c r="B1101" t="s">
        <v>2309</v>
      </c>
      <c r="C1101" s="4" t="str">
        <f>IF(ISERROR(_xlfn.XMATCH(B1101,newlist!B:B,0)),"not found","found")</f>
        <v>found</v>
      </c>
    </row>
    <row r="1102" spans="1:3" x14ac:dyDescent="0.5">
      <c r="A1102" t="s">
        <v>1051</v>
      </c>
      <c r="B1102" t="s">
        <v>2811</v>
      </c>
      <c r="C1102" s="4" t="str">
        <f>IF(ISERROR(_xlfn.XMATCH(B1102,newlist!B:B,0)),"not found","found")</f>
        <v>not found</v>
      </c>
    </row>
    <row r="1103" spans="1:3" hidden="1" x14ac:dyDescent="0.5">
      <c r="A1103" t="s">
        <v>1051</v>
      </c>
      <c r="B1103" t="s">
        <v>2453</v>
      </c>
      <c r="C1103" s="4" t="str">
        <f>IF(ISERROR(_xlfn.XMATCH(B1103,newlist!B:B,0)),"not found","found")</f>
        <v>found</v>
      </c>
    </row>
    <row r="1104" spans="1:3" hidden="1" x14ac:dyDescent="0.5">
      <c r="A1104" t="s">
        <v>1051</v>
      </c>
      <c r="B1104" t="s">
        <v>1657</v>
      </c>
      <c r="C1104" s="4" t="str">
        <f>IF(ISERROR(_xlfn.XMATCH(B1104,newlist!B:B,0)),"not found","found")</f>
        <v>found</v>
      </c>
    </row>
    <row r="1105" spans="1:3" hidden="1" x14ac:dyDescent="0.5">
      <c r="A1105" t="s">
        <v>1051</v>
      </c>
      <c r="B1105" t="s">
        <v>1863</v>
      </c>
      <c r="C1105" s="4" t="str">
        <f>IF(ISERROR(_xlfn.XMATCH(B1105,newlist!B:B,0)),"not found","found")</f>
        <v>found</v>
      </c>
    </row>
    <row r="1106" spans="1:3" hidden="1" x14ac:dyDescent="0.5">
      <c r="A1106" t="s">
        <v>1051</v>
      </c>
      <c r="B1106" t="s">
        <v>2709</v>
      </c>
      <c r="C1106" s="4" t="str">
        <f>IF(ISERROR(_xlfn.XMATCH(B1106,newlist!B:B,0)),"not found","found")</f>
        <v>found</v>
      </c>
    </row>
    <row r="1107" spans="1:3" hidden="1" x14ac:dyDescent="0.5">
      <c r="A1107" t="s">
        <v>1051</v>
      </c>
      <c r="B1107" t="s">
        <v>1987</v>
      </c>
      <c r="C1107" s="4" t="str">
        <f>IF(ISERROR(_xlfn.XMATCH(B1107,newlist!B:B,0)),"not found","found")</f>
        <v>found</v>
      </c>
    </row>
    <row r="1108" spans="1:3" hidden="1" x14ac:dyDescent="0.5">
      <c r="A1108" t="s">
        <v>1051</v>
      </c>
      <c r="B1108" t="s">
        <v>2647</v>
      </c>
      <c r="C1108" s="4" t="str">
        <f>IF(ISERROR(_xlfn.XMATCH(B1108,newlist!B:B,0)),"not found","found")</f>
        <v>found</v>
      </c>
    </row>
    <row r="1109" spans="1:3" hidden="1" x14ac:dyDescent="0.5">
      <c r="A1109" t="s">
        <v>1051</v>
      </c>
      <c r="B1109" t="s">
        <v>2629</v>
      </c>
      <c r="C1109" s="4" t="str">
        <f>IF(ISERROR(_xlfn.XMATCH(B1109,newlist!B:B,0)),"not found","found")</f>
        <v>found</v>
      </c>
    </row>
    <row r="1110" spans="1:3" hidden="1" x14ac:dyDescent="0.5">
      <c r="A1110" t="s">
        <v>1051</v>
      </c>
      <c r="B1110" t="s">
        <v>2455</v>
      </c>
      <c r="C1110" s="4" t="str">
        <f>IF(ISERROR(_xlfn.XMATCH(B1110,newlist!B:B,0)),"not found","found")</f>
        <v>found</v>
      </c>
    </row>
    <row r="1111" spans="1:3" hidden="1" x14ac:dyDescent="0.5">
      <c r="A1111" t="s">
        <v>1051</v>
      </c>
      <c r="B1111" t="s">
        <v>2353</v>
      </c>
      <c r="C1111" s="4" t="str">
        <f>IF(ISERROR(_xlfn.XMATCH(B1111,newlist!B:B,0)),"not found","found")</f>
        <v>found</v>
      </c>
    </row>
    <row r="1112" spans="1:3" hidden="1" x14ac:dyDescent="0.5">
      <c r="A1112" t="s">
        <v>1051</v>
      </c>
      <c r="B1112" t="s">
        <v>1489</v>
      </c>
      <c r="C1112" s="4" t="str">
        <f>IF(ISERROR(_xlfn.XMATCH(B1112,newlist!B:B,0)),"not found","found")</f>
        <v>found</v>
      </c>
    </row>
    <row r="1113" spans="1:3" hidden="1" x14ac:dyDescent="0.5">
      <c r="A1113" t="s">
        <v>1051</v>
      </c>
      <c r="B1113" t="s">
        <v>2333</v>
      </c>
      <c r="C1113" s="4" t="str">
        <f>IF(ISERROR(_xlfn.XMATCH(B1113,newlist!B:B,0)),"not found","found")</f>
        <v>found</v>
      </c>
    </row>
    <row r="1114" spans="1:3" hidden="1" x14ac:dyDescent="0.5">
      <c r="A1114" t="s">
        <v>1051</v>
      </c>
      <c r="B1114" t="s">
        <v>1945</v>
      </c>
      <c r="C1114" s="4" t="str">
        <f>IF(ISERROR(_xlfn.XMATCH(B1114,newlist!B:B,0)),"not found","found")</f>
        <v>found</v>
      </c>
    </row>
    <row r="1115" spans="1:3" hidden="1" x14ac:dyDescent="0.5">
      <c r="A1115" t="s">
        <v>1051</v>
      </c>
      <c r="B1115" t="s">
        <v>2341</v>
      </c>
      <c r="C1115" s="4" t="str">
        <f>IF(ISERROR(_xlfn.XMATCH(B1115,newlist!B:B,0)),"not found","found")</f>
        <v>found</v>
      </c>
    </row>
    <row r="1116" spans="1:3" hidden="1" x14ac:dyDescent="0.5">
      <c r="A1116" t="s">
        <v>1051</v>
      </c>
      <c r="B1116" t="s">
        <v>2727</v>
      </c>
      <c r="C1116" s="4" t="str">
        <f>IF(ISERROR(_xlfn.XMATCH(B1116,newlist!B:B,0)),"not found","found")</f>
        <v>found</v>
      </c>
    </row>
    <row r="1117" spans="1:3" hidden="1" x14ac:dyDescent="0.5">
      <c r="A1117" t="s">
        <v>1051</v>
      </c>
      <c r="B1117" t="s">
        <v>2411</v>
      </c>
      <c r="C1117" s="4" t="str">
        <f>IF(ISERROR(_xlfn.XMATCH(B1117,newlist!B:B,0)),"not found","found")</f>
        <v>found</v>
      </c>
    </row>
    <row r="1118" spans="1:3" hidden="1" x14ac:dyDescent="0.5">
      <c r="A1118" t="s">
        <v>1051</v>
      </c>
      <c r="B1118" t="s">
        <v>1977</v>
      </c>
      <c r="C1118" s="4" t="str">
        <f>IF(ISERROR(_xlfn.XMATCH(B1118,newlist!B:B,0)),"not found","found")</f>
        <v>found</v>
      </c>
    </row>
    <row r="1119" spans="1:3" hidden="1" x14ac:dyDescent="0.5">
      <c r="A1119" t="s">
        <v>1051</v>
      </c>
      <c r="B1119" t="s">
        <v>1847</v>
      </c>
      <c r="C1119" s="4" t="str">
        <f>IF(ISERROR(_xlfn.XMATCH(B1119,newlist!B:B,0)),"not found","found")</f>
        <v>found</v>
      </c>
    </row>
    <row r="1120" spans="1:3" hidden="1" x14ac:dyDescent="0.5">
      <c r="A1120" t="s">
        <v>1051</v>
      </c>
      <c r="B1120" t="s">
        <v>2145</v>
      </c>
      <c r="C1120" s="4" t="str">
        <f>IF(ISERROR(_xlfn.XMATCH(B1120,newlist!B:B,0)),"not found","found")</f>
        <v>found</v>
      </c>
    </row>
    <row r="1121" spans="1:3" x14ac:dyDescent="0.5">
      <c r="A1121" t="s">
        <v>1051</v>
      </c>
      <c r="B1121" t="s">
        <v>2812</v>
      </c>
      <c r="C1121" s="4" t="str">
        <f>IF(ISERROR(_xlfn.XMATCH(B1121,newlist!B:B,0)),"not found","found")</f>
        <v>not found</v>
      </c>
    </row>
    <row r="1122" spans="1:3" hidden="1" x14ac:dyDescent="0.5">
      <c r="A1122" t="s">
        <v>1051</v>
      </c>
      <c r="B1122" t="s">
        <v>1821</v>
      </c>
      <c r="C1122" s="4" t="str">
        <f>IF(ISERROR(_xlfn.XMATCH(B1122,newlist!B:B,0)),"not found","found")</f>
        <v>found</v>
      </c>
    </row>
    <row r="1123" spans="1:3" hidden="1" x14ac:dyDescent="0.5">
      <c r="A1123" t="s">
        <v>1051</v>
      </c>
      <c r="B1123" t="s">
        <v>2391</v>
      </c>
      <c r="C1123" s="4" t="str">
        <f>IF(ISERROR(_xlfn.XMATCH(B1123,newlist!B:B,0)),"not found","found")</f>
        <v>found</v>
      </c>
    </row>
    <row r="1124" spans="1:3" hidden="1" x14ac:dyDescent="0.5">
      <c r="A1124" t="s">
        <v>1051</v>
      </c>
      <c r="B1124" t="s">
        <v>2689</v>
      </c>
      <c r="C1124" s="4" t="str">
        <f>IF(ISERROR(_xlfn.XMATCH(B1124,newlist!B:B,0)),"not found","found")</f>
        <v>found</v>
      </c>
    </row>
    <row r="1125" spans="1:3" hidden="1" x14ac:dyDescent="0.5">
      <c r="A1125" t="s">
        <v>1051</v>
      </c>
      <c r="B1125" t="s">
        <v>2345</v>
      </c>
      <c r="C1125" s="4" t="str">
        <f>IF(ISERROR(_xlfn.XMATCH(B1125,newlist!B:B,0)),"not found","found")</f>
        <v>found</v>
      </c>
    </row>
    <row r="1126" spans="1:3" hidden="1" x14ac:dyDescent="0.5">
      <c r="A1126" t="s">
        <v>1051</v>
      </c>
      <c r="B1126" t="s">
        <v>1991</v>
      </c>
      <c r="C1126" s="4" t="str">
        <f>IF(ISERROR(_xlfn.XMATCH(B1126,newlist!B:B,0)),"not found","found")</f>
        <v>found</v>
      </c>
    </row>
    <row r="1127" spans="1:3" hidden="1" x14ac:dyDescent="0.5">
      <c r="A1127" t="s">
        <v>1051</v>
      </c>
      <c r="B1127" t="s">
        <v>2135</v>
      </c>
      <c r="C1127" s="4" t="str">
        <f>IF(ISERROR(_xlfn.XMATCH(B1127,newlist!B:B,0)),"not found","found")</f>
        <v>found</v>
      </c>
    </row>
    <row r="1128" spans="1:3" hidden="1" x14ac:dyDescent="0.5">
      <c r="A1128" t="s">
        <v>1051</v>
      </c>
      <c r="B1128" t="s">
        <v>2231</v>
      </c>
      <c r="C1128" s="4" t="str">
        <f>IF(ISERROR(_xlfn.XMATCH(B1128,newlist!B:B,0)),"not found","found")</f>
        <v>found</v>
      </c>
    </row>
    <row r="1129" spans="1:3" hidden="1" x14ac:dyDescent="0.5">
      <c r="A1129" t="s">
        <v>1051</v>
      </c>
      <c r="B1129" t="s">
        <v>1943</v>
      </c>
      <c r="C1129" s="4" t="str">
        <f>IF(ISERROR(_xlfn.XMATCH(B1129,newlist!B:B,0)),"not found","found")</f>
        <v>found</v>
      </c>
    </row>
    <row r="1130" spans="1:3" hidden="1" x14ac:dyDescent="0.5">
      <c r="A1130" t="s">
        <v>1051</v>
      </c>
      <c r="B1130" t="s">
        <v>1849</v>
      </c>
      <c r="C1130" s="4" t="str">
        <f>IF(ISERROR(_xlfn.XMATCH(B1130,newlist!B:B,0)),"not found","found")</f>
        <v>found</v>
      </c>
    </row>
    <row r="1131" spans="1:3" hidden="1" x14ac:dyDescent="0.5">
      <c r="A1131" t="s">
        <v>1051</v>
      </c>
      <c r="B1131" t="s">
        <v>2705</v>
      </c>
      <c r="C1131" s="4" t="str">
        <f>IF(ISERROR(_xlfn.XMATCH(B1131,newlist!B:B,0)),"not found","found")</f>
        <v>found</v>
      </c>
    </row>
    <row r="1132" spans="1:3" hidden="1" x14ac:dyDescent="0.5">
      <c r="A1132" t="s">
        <v>1051</v>
      </c>
      <c r="B1132" t="s">
        <v>2745</v>
      </c>
      <c r="C1132" s="4" t="str">
        <f>IF(ISERROR(_xlfn.XMATCH(B1132,newlist!B:B,0)),"not found","found")</f>
        <v>found</v>
      </c>
    </row>
    <row r="1133" spans="1:3" hidden="1" x14ac:dyDescent="0.5">
      <c r="A1133" t="s">
        <v>1051</v>
      </c>
      <c r="B1133" t="s">
        <v>1995</v>
      </c>
      <c r="C1133" s="4" t="str">
        <f>IF(ISERROR(_xlfn.XMATCH(B1133,newlist!B:B,0)),"not found","found")</f>
        <v>found</v>
      </c>
    </row>
    <row r="1134" spans="1:3" x14ac:dyDescent="0.5">
      <c r="A1134" t="s">
        <v>1051</v>
      </c>
      <c r="B1134" t="s">
        <v>2813</v>
      </c>
      <c r="C1134" s="4" t="str">
        <f>IF(ISERROR(_xlfn.XMATCH(B1134,newlist!B:B,0)),"not found","found")</f>
        <v>not found</v>
      </c>
    </row>
    <row r="1135" spans="1:3" hidden="1" x14ac:dyDescent="0.5">
      <c r="A1135" t="s">
        <v>1051</v>
      </c>
      <c r="B1135" t="s">
        <v>2701</v>
      </c>
      <c r="C1135" s="4" t="str">
        <f>IF(ISERROR(_xlfn.XMATCH(B1135,newlist!B:B,0)),"not found","found")</f>
        <v>found</v>
      </c>
    </row>
    <row r="1136" spans="1:3" hidden="1" x14ac:dyDescent="0.5">
      <c r="A1136" t="s">
        <v>1051</v>
      </c>
      <c r="B1136" t="s">
        <v>1955</v>
      </c>
      <c r="C1136" s="4" t="str">
        <f>IF(ISERROR(_xlfn.XMATCH(B1136,newlist!B:B,0)),"not found","found")</f>
        <v>found</v>
      </c>
    </row>
    <row r="1137" spans="1:3" hidden="1" x14ac:dyDescent="0.5">
      <c r="A1137" t="s">
        <v>1051</v>
      </c>
      <c r="B1137" t="s">
        <v>1361</v>
      </c>
      <c r="C1137" s="4" t="str">
        <f>IF(ISERROR(_xlfn.XMATCH(B1137,newlist!B:B,0)),"not found","found")</f>
        <v>found</v>
      </c>
    </row>
    <row r="1138" spans="1:3" hidden="1" x14ac:dyDescent="0.5">
      <c r="A1138" t="s">
        <v>1051</v>
      </c>
      <c r="B1138" t="s">
        <v>1967</v>
      </c>
      <c r="C1138" s="4" t="str">
        <f>IF(ISERROR(_xlfn.XMATCH(B1138,newlist!B:B,0)),"not found","found")</f>
        <v>found</v>
      </c>
    </row>
    <row r="1139" spans="1:3" hidden="1" x14ac:dyDescent="0.5">
      <c r="A1139" t="s">
        <v>1051</v>
      </c>
      <c r="B1139" t="s">
        <v>1867</v>
      </c>
      <c r="C1139" s="4" t="str">
        <f>IF(ISERROR(_xlfn.XMATCH(B1139,newlist!B:B,0)),"not found","found")</f>
        <v>found</v>
      </c>
    </row>
    <row r="1140" spans="1:3" hidden="1" x14ac:dyDescent="0.5">
      <c r="A1140" t="s">
        <v>1051</v>
      </c>
      <c r="B1140" t="s">
        <v>1823</v>
      </c>
      <c r="C1140" s="4" t="str">
        <f>IF(ISERROR(_xlfn.XMATCH(B1140,newlist!B:B,0)),"not found","found")</f>
        <v>found</v>
      </c>
    </row>
    <row r="1141" spans="1:3" hidden="1" x14ac:dyDescent="0.5">
      <c r="A1141" t="s">
        <v>1051</v>
      </c>
      <c r="B1141" t="s">
        <v>1397</v>
      </c>
      <c r="C1141" s="4" t="str">
        <f>IF(ISERROR(_xlfn.XMATCH(B1141,newlist!B:B,0)),"not found","found")</f>
        <v>found</v>
      </c>
    </row>
    <row r="1142" spans="1:3" hidden="1" x14ac:dyDescent="0.5">
      <c r="A1142" t="s">
        <v>1051</v>
      </c>
      <c r="B1142" t="s">
        <v>1669</v>
      </c>
      <c r="C1142" s="4" t="str">
        <f>IF(ISERROR(_xlfn.XMATCH(B1142,newlist!B:B,0)),"not found","found")</f>
        <v>found</v>
      </c>
    </row>
    <row r="1143" spans="1:3" hidden="1" x14ac:dyDescent="0.5">
      <c r="A1143" t="s">
        <v>1051</v>
      </c>
      <c r="B1143" t="s">
        <v>1975</v>
      </c>
      <c r="C1143" s="4" t="str">
        <f>IF(ISERROR(_xlfn.XMATCH(B1143,newlist!B:B,0)),"not found","found")</f>
        <v>found</v>
      </c>
    </row>
    <row r="1144" spans="1:3" hidden="1" x14ac:dyDescent="0.5">
      <c r="A1144" t="s">
        <v>1051</v>
      </c>
      <c r="B1144" t="s">
        <v>2477</v>
      </c>
      <c r="C1144" s="4" t="str">
        <f>IF(ISERROR(_xlfn.XMATCH(B1144,newlist!B:B,0)),"not found","found")</f>
        <v>found</v>
      </c>
    </row>
    <row r="1145" spans="1:3" hidden="1" x14ac:dyDescent="0.5">
      <c r="A1145" t="s">
        <v>1051</v>
      </c>
      <c r="B1145" t="s">
        <v>1455</v>
      </c>
      <c r="C1145" s="4" t="str">
        <f>IF(ISERROR(_xlfn.XMATCH(B1145,newlist!B:B,0)),"not found","found")</f>
        <v>found</v>
      </c>
    </row>
    <row r="1146" spans="1:3" hidden="1" x14ac:dyDescent="0.5">
      <c r="A1146" t="s">
        <v>1051</v>
      </c>
      <c r="B1146" t="s">
        <v>2367</v>
      </c>
      <c r="C1146" s="4" t="str">
        <f>IF(ISERROR(_xlfn.XMATCH(B1146,newlist!B:B,0)),"not found","found")</f>
        <v>found</v>
      </c>
    </row>
    <row r="1147" spans="1:3" hidden="1" x14ac:dyDescent="0.5">
      <c r="A1147" t="s">
        <v>1051</v>
      </c>
      <c r="B1147" t="s">
        <v>2249</v>
      </c>
      <c r="C1147" s="4" t="str">
        <f>IF(ISERROR(_xlfn.XMATCH(B1147,newlist!B:B,0)),"not found","found")</f>
        <v>found</v>
      </c>
    </row>
    <row r="1148" spans="1:3" hidden="1" x14ac:dyDescent="0.5">
      <c r="A1148" t="s">
        <v>1051</v>
      </c>
      <c r="B1148" t="s">
        <v>2021</v>
      </c>
      <c r="C1148" s="4" t="str">
        <f>IF(ISERROR(_xlfn.XMATCH(B1148,newlist!B:B,0)),"not found","found")</f>
        <v>found</v>
      </c>
    </row>
    <row r="1149" spans="1:3" hidden="1" x14ac:dyDescent="0.5">
      <c r="A1149" t="s">
        <v>1051</v>
      </c>
      <c r="B1149" t="s">
        <v>1401</v>
      </c>
      <c r="C1149" s="4" t="str">
        <f>IF(ISERROR(_xlfn.XMATCH(B1149,newlist!B:B,0)),"not found","found")</f>
        <v>found</v>
      </c>
    </row>
    <row r="1150" spans="1:3" hidden="1" x14ac:dyDescent="0.5">
      <c r="A1150" t="s">
        <v>1051</v>
      </c>
      <c r="B1150" t="s">
        <v>2649</v>
      </c>
      <c r="C1150" s="4" t="str">
        <f>IF(ISERROR(_xlfn.XMATCH(B1150,newlist!B:B,0)),"not found","found")</f>
        <v>found</v>
      </c>
    </row>
    <row r="1151" spans="1:3" hidden="1" x14ac:dyDescent="0.5">
      <c r="A1151" t="s">
        <v>1051</v>
      </c>
      <c r="B1151" t="s">
        <v>2005</v>
      </c>
      <c r="C1151" s="4" t="str">
        <f>IF(ISERROR(_xlfn.XMATCH(B1151,newlist!B:B,0)),"not found","found")</f>
        <v>found</v>
      </c>
    </row>
    <row r="1152" spans="1:3" hidden="1" x14ac:dyDescent="0.5">
      <c r="A1152" t="s">
        <v>1051</v>
      </c>
      <c r="B1152" t="s">
        <v>1459</v>
      </c>
      <c r="C1152" s="4" t="str">
        <f>IF(ISERROR(_xlfn.XMATCH(B1152,newlist!B:B,0)),"not found","found")</f>
        <v>found</v>
      </c>
    </row>
    <row r="1153" spans="1:3" hidden="1" x14ac:dyDescent="0.5">
      <c r="A1153" t="s">
        <v>1051</v>
      </c>
      <c r="B1153" t="s">
        <v>1359</v>
      </c>
      <c r="C1153" s="4" t="str">
        <f>IF(ISERROR(_xlfn.XMATCH(B1153,newlist!B:B,0)),"not found","found")</f>
        <v>found</v>
      </c>
    </row>
    <row r="1154" spans="1:3" hidden="1" x14ac:dyDescent="0.5">
      <c r="A1154" t="s">
        <v>1051</v>
      </c>
      <c r="B1154" t="s">
        <v>1379</v>
      </c>
      <c r="C1154" s="4" t="str">
        <f>IF(ISERROR(_xlfn.XMATCH(B1154,newlist!B:B,0)),"not found","found")</f>
        <v>found</v>
      </c>
    </row>
    <row r="1155" spans="1:3" hidden="1" x14ac:dyDescent="0.5">
      <c r="A1155" t="s">
        <v>1051</v>
      </c>
      <c r="B1155" t="s">
        <v>2033</v>
      </c>
      <c r="C1155" s="4" t="str">
        <f>IF(ISERROR(_xlfn.XMATCH(B1155,newlist!B:B,0)),"not found","found")</f>
        <v>found</v>
      </c>
    </row>
    <row r="1156" spans="1:3" hidden="1" x14ac:dyDescent="0.5">
      <c r="A1156" t="s">
        <v>1051</v>
      </c>
      <c r="B1156" t="s">
        <v>2539</v>
      </c>
      <c r="C1156" s="4" t="str">
        <f>IF(ISERROR(_xlfn.XMATCH(B1156,newlist!B:B,0)),"not found","found")</f>
        <v>found</v>
      </c>
    </row>
    <row r="1157" spans="1:3" hidden="1" x14ac:dyDescent="0.5">
      <c r="A1157" t="s">
        <v>1051</v>
      </c>
      <c r="B1157" t="s">
        <v>1643</v>
      </c>
      <c r="C1157" s="4" t="str">
        <f>IF(ISERROR(_xlfn.XMATCH(B1157,newlist!B:B,0)),"not found","found")</f>
        <v>found</v>
      </c>
    </row>
    <row r="1158" spans="1:3" hidden="1" x14ac:dyDescent="0.5">
      <c r="A1158" t="s">
        <v>1051</v>
      </c>
      <c r="B1158" t="s">
        <v>2343</v>
      </c>
      <c r="C1158" s="4" t="str">
        <f>IF(ISERROR(_xlfn.XMATCH(B1158,newlist!B:B,0)),"not found","found")</f>
        <v>found</v>
      </c>
    </row>
    <row r="1159" spans="1:3" hidden="1" x14ac:dyDescent="0.5">
      <c r="A1159" t="s">
        <v>1051</v>
      </c>
      <c r="B1159" t="s">
        <v>1391</v>
      </c>
      <c r="C1159" s="4" t="str">
        <f>IF(ISERROR(_xlfn.XMATCH(B1159,newlist!B:B,0)),"not found","found")</f>
        <v>found</v>
      </c>
    </row>
    <row r="1160" spans="1:3" hidden="1" x14ac:dyDescent="0.5">
      <c r="A1160" t="s">
        <v>1051</v>
      </c>
      <c r="B1160" t="s">
        <v>2327</v>
      </c>
      <c r="C1160" s="4" t="str">
        <f>IF(ISERROR(_xlfn.XMATCH(B1160,newlist!B:B,0)),"not found","found")</f>
        <v>found</v>
      </c>
    </row>
    <row r="1161" spans="1:3" hidden="1" x14ac:dyDescent="0.5">
      <c r="A1161" t="s">
        <v>1051</v>
      </c>
      <c r="B1161" t="s">
        <v>2529</v>
      </c>
      <c r="C1161" s="4" t="str">
        <f>IF(ISERROR(_xlfn.XMATCH(B1161,newlist!B:B,0)),"not found","found")</f>
        <v>found</v>
      </c>
    </row>
    <row r="1162" spans="1:3" hidden="1" x14ac:dyDescent="0.5">
      <c r="A1162" t="s">
        <v>1051</v>
      </c>
      <c r="B1162" t="s">
        <v>1997</v>
      </c>
      <c r="C1162" s="4" t="str">
        <f>IF(ISERROR(_xlfn.XMATCH(B1162,newlist!B:B,0)),"not found","found")</f>
        <v>found</v>
      </c>
    </row>
    <row r="1163" spans="1:3" hidden="1" x14ac:dyDescent="0.5">
      <c r="A1163" t="s">
        <v>1051</v>
      </c>
      <c r="B1163" t="s">
        <v>1841</v>
      </c>
      <c r="C1163" s="4" t="str">
        <f>IF(ISERROR(_xlfn.XMATCH(B1163,newlist!B:B,0)),"not found","found")</f>
        <v>found</v>
      </c>
    </row>
    <row r="1164" spans="1:3" hidden="1" x14ac:dyDescent="0.5">
      <c r="A1164" t="s">
        <v>1051</v>
      </c>
      <c r="B1164" t="s">
        <v>2363</v>
      </c>
      <c r="C1164" s="4" t="str">
        <f>IF(ISERROR(_xlfn.XMATCH(B1164,newlist!B:B,0)),"not found","found")</f>
        <v>found</v>
      </c>
    </row>
    <row r="1165" spans="1:3" hidden="1" x14ac:dyDescent="0.5">
      <c r="A1165" t="s">
        <v>1051</v>
      </c>
      <c r="B1165" t="s">
        <v>2259</v>
      </c>
      <c r="C1165" s="4" t="str">
        <f>IF(ISERROR(_xlfn.XMATCH(B1165,newlist!B:B,0)),"not found","found")</f>
        <v>found</v>
      </c>
    </row>
    <row r="1166" spans="1:3" hidden="1" x14ac:dyDescent="0.5">
      <c r="A1166" t="s">
        <v>1051</v>
      </c>
      <c r="B1166" t="s">
        <v>1547</v>
      </c>
      <c r="C1166" s="4" t="str">
        <f>IF(ISERROR(_xlfn.XMATCH(B1166,newlist!B:B,0)),"not found","found")</f>
        <v>found</v>
      </c>
    </row>
    <row r="1167" spans="1:3" hidden="1" x14ac:dyDescent="0.5">
      <c r="A1167" t="s">
        <v>1051</v>
      </c>
      <c r="B1167" t="s">
        <v>2013</v>
      </c>
      <c r="C1167" s="4" t="str">
        <f>IF(ISERROR(_xlfn.XMATCH(B1167,newlist!B:B,0)),"not found","found")</f>
        <v>found</v>
      </c>
    </row>
    <row r="1168" spans="1:3" hidden="1" x14ac:dyDescent="0.5">
      <c r="A1168" t="s">
        <v>1051</v>
      </c>
      <c r="B1168" t="s">
        <v>1329</v>
      </c>
      <c r="C1168" s="4" t="str">
        <f>IF(ISERROR(_xlfn.XMATCH(B1168,newlist!B:B,0)),"not found","found")</f>
        <v>found</v>
      </c>
    </row>
    <row r="1169" spans="1:3" hidden="1" x14ac:dyDescent="0.5">
      <c r="A1169" t="s">
        <v>1051</v>
      </c>
      <c r="B1169" t="s">
        <v>2707</v>
      </c>
      <c r="C1169" s="4" t="str">
        <f>IF(ISERROR(_xlfn.XMATCH(B1169,newlist!B:B,0)),"not found","found")</f>
        <v>found</v>
      </c>
    </row>
    <row r="1170" spans="1:3" hidden="1" x14ac:dyDescent="0.5">
      <c r="A1170" t="s">
        <v>1051</v>
      </c>
      <c r="B1170" t="s">
        <v>2769</v>
      </c>
      <c r="C1170" s="4" t="str">
        <f>IF(ISERROR(_xlfn.XMATCH(B1170,newlist!B:B,0)),"not found","found")</f>
        <v>found</v>
      </c>
    </row>
    <row r="1171" spans="1:3" hidden="1" x14ac:dyDescent="0.5">
      <c r="A1171" t="s">
        <v>1051</v>
      </c>
      <c r="B1171" t="s">
        <v>2763</v>
      </c>
      <c r="C1171" s="4" t="str">
        <f>IF(ISERROR(_xlfn.XMATCH(B1171,newlist!B:B,0)),"not found","found")</f>
        <v>found</v>
      </c>
    </row>
    <row r="1172" spans="1:3" hidden="1" x14ac:dyDescent="0.5">
      <c r="A1172" t="s">
        <v>1051</v>
      </c>
      <c r="B1172" t="s">
        <v>2761</v>
      </c>
      <c r="C1172" s="4" t="str">
        <f>IF(ISERROR(_xlfn.XMATCH(B1172,newlist!B:B,0)),"not found","found")</f>
        <v>found</v>
      </c>
    </row>
    <row r="1173" spans="1:3" hidden="1" x14ac:dyDescent="0.5">
      <c r="A1173" t="s">
        <v>1051</v>
      </c>
      <c r="B1173" t="s">
        <v>2759</v>
      </c>
      <c r="C1173" s="4" t="str">
        <f>IF(ISERROR(_xlfn.XMATCH(B1173,newlist!B:B,0)),"not found","found")</f>
        <v>found</v>
      </c>
    </row>
    <row r="1174" spans="1:3" hidden="1" x14ac:dyDescent="0.5">
      <c r="A1174" t="s">
        <v>1051</v>
      </c>
      <c r="B1174" t="s">
        <v>2755</v>
      </c>
      <c r="C1174" s="4" t="str">
        <f>IF(ISERROR(_xlfn.XMATCH(B1174,newlist!B:B,0)),"not found","found")</f>
        <v>found</v>
      </c>
    </row>
    <row r="1175" spans="1:3" hidden="1" x14ac:dyDescent="0.5">
      <c r="A1175" t="s">
        <v>1051</v>
      </c>
      <c r="B1175" t="s">
        <v>2737</v>
      </c>
      <c r="C1175" s="4" t="str">
        <f>IF(ISERROR(_xlfn.XMATCH(B1175,newlist!B:B,0)),"not found","found")</f>
        <v>found</v>
      </c>
    </row>
    <row r="1176" spans="1:3" hidden="1" x14ac:dyDescent="0.5">
      <c r="A1176" t="s">
        <v>1051</v>
      </c>
      <c r="B1176" t="s">
        <v>2497</v>
      </c>
      <c r="C1176" s="4" t="str">
        <f>IF(ISERROR(_xlfn.XMATCH(B1176,newlist!B:B,0)),"not found","found")</f>
        <v>found</v>
      </c>
    </row>
    <row r="1177" spans="1:3" hidden="1" x14ac:dyDescent="0.5">
      <c r="A1177" t="s">
        <v>1051</v>
      </c>
      <c r="B1177" t="s">
        <v>2721</v>
      </c>
      <c r="C1177" s="4" t="str">
        <f>IF(ISERROR(_xlfn.XMATCH(B1177,newlist!B:B,0)),"not found","found")</f>
        <v>found</v>
      </c>
    </row>
    <row r="1178" spans="1:3" hidden="1" x14ac:dyDescent="0.5">
      <c r="A1178" t="s">
        <v>1051</v>
      </c>
      <c r="B1178" t="s">
        <v>2711</v>
      </c>
      <c r="C1178" s="4" t="str">
        <f>IF(ISERROR(_xlfn.XMATCH(B1178,newlist!B:B,0)),"not found","found")</f>
        <v>found</v>
      </c>
    </row>
    <row r="1179" spans="1:3" hidden="1" x14ac:dyDescent="0.5">
      <c r="A1179" t="s">
        <v>1051</v>
      </c>
      <c r="B1179" t="s">
        <v>1803</v>
      </c>
      <c r="C1179" s="4" t="str">
        <f>IF(ISERROR(_xlfn.XMATCH(B1179,newlist!B:B,0)),"not found","found")</f>
        <v>found</v>
      </c>
    </row>
    <row r="1180" spans="1:3" hidden="1" x14ac:dyDescent="0.5">
      <c r="A1180" t="s">
        <v>1051</v>
      </c>
      <c r="B1180" t="s">
        <v>1759</v>
      </c>
      <c r="C1180" s="4" t="str">
        <f>IF(ISERROR(_xlfn.XMATCH(B1180,newlist!B:B,0)),"not found","found")</f>
        <v>found</v>
      </c>
    </row>
    <row r="1181" spans="1:3" hidden="1" x14ac:dyDescent="0.5">
      <c r="A1181" t="s">
        <v>1051</v>
      </c>
      <c r="B1181" t="s">
        <v>1779</v>
      </c>
      <c r="C1181" s="4" t="str">
        <f>IF(ISERROR(_xlfn.XMATCH(B1181,newlist!B:B,0)),"not found","found")</f>
        <v>found</v>
      </c>
    </row>
    <row r="1182" spans="1:3" hidden="1" x14ac:dyDescent="0.5">
      <c r="A1182" t="s">
        <v>1051</v>
      </c>
      <c r="B1182" t="s">
        <v>1373</v>
      </c>
      <c r="C1182" s="4" t="str">
        <f>IF(ISERROR(_xlfn.XMATCH(B1182,newlist!B:B,0)),"not found","found")</f>
        <v>found</v>
      </c>
    </row>
    <row r="1183" spans="1:3" hidden="1" x14ac:dyDescent="0.5">
      <c r="A1183" t="s">
        <v>1051</v>
      </c>
      <c r="B1183" t="s">
        <v>2053</v>
      </c>
      <c r="C1183" s="4" t="str">
        <f>IF(ISERROR(_xlfn.XMATCH(B1183,newlist!B:B,0)),"not found","found")</f>
        <v>found</v>
      </c>
    </row>
    <row r="1184" spans="1:3" hidden="1" x14ac:dyDescent="0.5">
      <c r="A1184" t="s">
        <v>1051</v>
      </c>
      <c r="B1184" t="s">
        <v>2197</v>
      </c>
      <c r="C1184" s="4" t="str">
        <f>IF(ISERROR(_xlfn.XMATCH(B1184,newlist!B:B,0)),"not found","found")</f>
        <v>found</v>
      </c>
    </row>
    <row r="1185" spans="1:3" hidden="1" x14ac:dyDescent="0.5">
      <c r="A1185" t="s">
        <v>1051</v>
      </c>
      <c r="B1185" t="s">
        <v>2277</v>
      </c>
      <c r="C1185" s="4" t="str">
        <f>IF(ISERROR(_xlfn.XMATCH(B1185,newlist!B:B,0)),"not found","found")</f>
        <v>found</v>
      </c>
    </row>
    <row r="1186" spans="1:3" hidden="1" x14ac:dyDescent="0.5">
      <c r="A1186" t="s">
        <v>1051</v>
      </c>
      <c r="B1186" t="s">
        <v>1535</v>
      </c>
      <c r="C1186" s="4" t="str">
        <f>IF(ISERROR(_xlfn.XMATCH(B1186,newlist!B:B,0)),"not found","found")</f>
        <v>found</v>
      </c>
    </row>
    <row r="1187" spans="1:3" hidden="1" x14ac:dyDescent="0.5">
      <c r="A1187" t="s">
        <v>1051</v>
      </c>
      <c r="B1187" t="s">
        <v>1757</v>
      </c>
      <c r="C1187" s="4" t="str">
        <f>IF(ISERROR(_xlfn.XMATCH(B1187,newlist!B:B,0)),"not found","found")</f>
        <v>found</v>
      </c>
    </row>
    <row r="1188" spans="1:3" hidden="1" x14ac:dyDescent="0.5">
      <c r="A1188" t="s">
        <v>1051</v>
      </c>
      <c r="B1188" t="s">
        <v>1377</v>
      </c>
      <c r="C1188" s="4" t="str">
        <f>IF(ISERROR(_xlfn.XMATCH(B1188,newlist!B:B,0)),"not found","found")</f>
        <v>found</v>
      </c>
    </row>
    <row r="1189" spans="1:3" hidden="1" x14ac:dyDescent="0.5">
      <c r="A1189" t="s">
        <v>1051</v>
      </c>
      <c r="B1189" t="s">
        <v>1387</v>
      </c>
      <c r="C1189" s="4" t="str">
        <f>IF(ISERROR(_xlfn.XMATCH(B1189,newlist!B:B,0)),"not found","found")</f>
        <v>found</v>
      </c>
    </row>
    <row r="1190" spans="1:3" hidden="1" x14ac:dyDescent="0.5">
      <c r="A1190" t="s">
        <v>1051</v>
      </c>
      <c r="B1190" t="s">
        <v>1345</v>
      </c>
      <c r="C1190" s="4" t="str">
        <f>IF(ISERROR(_xlfn.XMATCH(B1190,newlist!B:B,0)),"not found","found")</f>
        <v>found</v>
      </c>
    </row>
    <row r="1191" spans="1:3" hidden="1" x14ac:dyDescent="0.5">
      <c r="A1191" t="s">
        <v>1051</v>
      </c>
      <c r="B1191" t="s">
        <v>2057</v>
      </c>
      <c r="C1191" s="4" t="str">
        <f>IF(ISERROR(_xlfn.XMATCH(B1191,newlist!B:B,0)),"not found","found")</f>
        <v>found</v>
      </c>
    </row>
    <row r="1192" spans="1:3" hidden="1" x14ac:dyDescent="0.5">
      <c r="A1192" t="s">
        <v>1051</v>
      </c>
      <c r="B1192" t="s">
        <v>2117</v>
      </c>
      <c r="C1192" s="4" t="str">
        <f>IF(ISERROR(_xlfn.XMATCH(B1192,newlist!B:B,0)),"not found","found")</f>
        <v>found</v>
      </c>
    </row>
    <row r="1193" spans="1:3" hidden="1" x14ac:dyDescent="0.5">
      <c r="A1193" t="s">
        <v>1051</v>
      </c>
      <c r="B1193" t="s">
        <v>2147</v>
      </c>
      <c r="C1193" s="4" t="str">
        <f>IF(ISERROR(_xlfn.XMATCH(B1193,newlist!B:B,0)),"not found","found")</f>
        <v>found</v>
      </c>
    </row>
    <row r="1194" spans="1:3" x14ac:dyDescent="0.5">
      <c r="A1194" t="s">
        <v>1051</v>
      </c>
      <c r="B1194" t="s">
        <v>2814</v>
      </c>
      <c r="C1194" s="4" t="str">
        <f>IF(ISERROR(_xlfn.XMATCH(B1194,newlist!B:B,0)),"not found","found")</f>
        <v>not found</v>
      </c>
    </row>
    <row r="1195" spans="1:3" hidden="1" x14ac:dyDescent="0.5">
      <c r="A1195" t="s">
        <v>1051</v>
      </c>
      <c r="B1195" t="s">
        <v>2307</v>
      </c>
      <c r="C1195" s="4" t="str">
        <f>IF(ISERROR(_xlfn.XMATCH(B1195,newlist!B:B,0)),"not found","found")</f>
        <v>found</v>
      </c>
    </row>
    <row r="1196" spans="1:3" hidden="1" x14ac:dyDescent="0.5">
      <c r="A1196" t="s">
        <v>1051</v>
      </c>
      <c r="B1196" t="s">
        <v>1375</v>
      </c>
      <c r="C1196" s="4" t="str">
        <f>IF(ISERROR(_xlfn.XMATCH(B1196,newlist!B:B,0)),"not found","found")</f>
        <v>found</v>
      </c>
    </row>
    <row r="1197" spans="1:3" hidden="1" x14ac:dyDescent="0.5">
      <c r="A1197" t="s">
        <v>1051</v>
      </c>
      <c r="B1197" t="s">
        <v>1335</v>
      </c>
      <c r="C1197" s="4" t="str">
        <f>IF(ISERROR(_xlfn.XMATCH(B1197,newlist!B:B,0)),"not found","found")</f>
        <v>found</v>
      </c>
    </row>
    <row r="1198" spans="1:3" hidden="1" x14ac:dyDescent="0.5">
      <c r="A1198" t="s">
        <v>1051</v>
      </c>
      <c r="B1198" t="s">
        <v>1837</v>
      </c>
      <c r="C1198" s="4" t="str">
        <f>IF(ISERROR(_xlfn.XMATCH(B1198,newlist!B:B,0)),"not found","found")</f>
        <v>found</v>
      </c>
    </row>
    <row r="1199" spans="1:3" hidden="1" x14ac:dyDescent="0.5">
      <c r="A1199" t="s">
        <v>1051</v>
      </c>
      <c r="B1199" t="s">
        <v>1681</v>
      </c>
      <c r="C1199" s="4" t="str">
        <f>IF(ISERROR(_xlfn.XMATCH(B1199,newlist!B:B,0)),"not found","found")</f>
        <v>found</v>
      </c>
    </row>
    <row r="1200" spans="1:3" x14ac:dyDescent="0.5">
      <c r="A1200" t="s">
        <v>1051</v>
      </c>
      <c r="B1200" t="s">
        <v>2815</v>
      </c>
      <c r="C1200" s="4" t="str">
        <f>IF(ISERROR(_xlfn.XMATCH(B1200,newlist!B:B,0)),"not found","found")</f>
        <v>not found</v>
      </c>
    </row>
    <row r="1201" spans="1:3" hidden="1" x14ac:dyDescent="0.5">
      <c r="A1201" t="s">
        <v>1051</v>
      </c>
      <c r="B1201" t="s">
        <v>1709</v>
      </c>
      <c r="C1201" s="4" t="str">
        <f>IF(ISERROR(_xlfn.XMATCH(B1201,newlist!B:B,0)),"not found","found")</f>
        <v>found</v>
      </c>
    </row>
    <row r="1202" spans="1:3" hidden="1" x14ac:dyDescent="0.5">
      <c r="A1202" t="s">
        <v>1051</v>
      </c>
      <c r="B1202" t="s">
        <v>1957</v>
      </c>
      <c r="C1202" s="4" t="str">
        <f>IF(ISERROR(_xlfn.XMATCH(B1202,newlist!B:B,0)),"not found","found")</f>
        <v>found</v>
      </c>
    </row>
    <row r="1203" spans="1:3" hidden="1" x14ac:dyDescent="0.5">
      <c r="A1203" t="s">
        <v>1051</v>
      </c>
      <c r="B1203" t="s">
        <v>2079</v>
      </c>
      <c r="C1203" s="4" t="str">
        <f>IF(ISERROR(_xlfn.XMATCH(B1203,newlist!B:B,0)),"not found","found")</f>
        <v>found</v>
      </c>
    </row>
    <row r="1204" spans="1:3" hidden="1" x14ac:dyDescent="0.5">
      <c r="A1204" t="s">
        <v>1051</v>
      </c>
      <c r="B1204" t="s">
        <v>2247</v>
      </c>
      <c r="C1204" s="4" t="str">
        <f>IF(ISERROR(_xlfn.XMATCH(B1204,newlist!B:B,0)),"not found","found")</f>
        <v>found</v>
      </c>
    </row>
    <row r="1205" spans="1:3" hidden="1" x14ac:dyDescent="0.5">
      <c r="A1205" t="s">
        <v>1051</v>
      </c>
      <c r="B1205" t="s">
        <v>1465</v>
      </c>
      <c r="C1205" s="4" t="str">
        <f>IF(ISERROR(_xlfn.XMATCH(B1205,newlist!B:B,0)),"not found","found")</f>
        <v>found</v>
      </c>
    </row>
    <row r="1206" spans="1:3" hidden="1" x14ac:dyDescent="0.5">
      <c r="A1206" t="s">
        <v>1051</v>
      </c>
      <c r="B1206" t="s">
        <v>1509</v>
      </c>
      <c r="C1206" s="4" t="str">
        <f>IF(ISERROR(_xlfn.XMATCH(B1206,newlist!B:B,0)),"not found","found")</f>
        <v>found</v>
      </c>
    </row>
    <row r="1207" spans="1:3" hidden="1" x14ac:dyDescent="0.5">
      <c r="A1207" t="s">
        <v>1051</v>
      </c>
      <c r="B1207" t="s">
        <v>2509</v>
      </c>
      <c r="C1207" s="4" t="str">
        <f>IF(ISERROR(_xlfn.XMATCH(B1207,newlist!B:B,0)),"not found","found")</f>
        <v>found</v>
      </c>
    </row>
    <row r="1208" spans="1:3" hidden="1" x14ac:dyDescent="0.5">
      <c r="A1208" t="s">
        <v>1051</v>
      </c>
      <c r="B1208" t="s">
        <v>1475</v>
      </c>
      <c r="C1208" s="4" t="str">
        <f>IF(ISERROR(_xlfn.XMATCH(B1208,newlist!B:B,0)),"not found","found")</f>
        <v>found</v>
      </c>
    </row>
    <row r="1209" spans="1:3" hidden="1" x14ac:dyDescent="0.5">
      <c r="A1209" t="s">
        <v>1051</v>
      </c>
      <c r="B1209" t="s">
        <v>1603</v>
      </c>
      <c r="C1209" s="4" t="str">
        <f>IF(ISERROR(_xlfn.XMATCH(B1209,newlist!B:B,0)),"not found","found")</f>
        <v>found</v>
      </c>
    </row>
    <row r="1210" spans="1:3" hidden="1" x14ac:dyDescent="0.5">
      <c r="A1210" t="s">
        <v>1051</v>
      </c>
      <c r="B1210" t="s">
        <v>1541</v>
      </c>
      <c r="C1210" s="4" t="str">
        <f>IF(ISERROR(_xlfn.XMATCH(B1210,newlist!B:B,0)),"not found","found")</f>
        <v>found</v>
      </c>
    </row>
    <row r="1211" spans="1:3" hidden="1" x14ac:dyDescent="0.5">
      <c r="A1211" t="s">
        <v>1051</v>
      </c>
      <c r="B1211" t="s">
        <v>1819</v>
      </c>
      <c r="C1211" s="4" t="str">
        <f>IF(ISERROR(_xlfn.XMATCH(B1211,newlist!B:B,0)),"not found","found")</f>
        <v>found</v>
      </c>
    </row>
    <row r="1212" spans="1:3" hidden="1" x14ac:dyDescent="0.5">
      <c r="A1212" t="s">
        <v>1051</v>
      </c>
      <c r="B1212" t="s">
        <v>1645</v>
      </c>
      <c r="C1212" s="4" t="str">
        <f>IF(ISERROR(_xlfn.XMATCH(B1212,newlist!B:B,0)),"not found","found")</f>
        <v>found</v>
      </c>
    </row>
    <row r="1213" spans="1:3" hidden="1" x14ac:dyDescent="0.5">
      <c r="A1213" t="s">
        <v>1051</v>
      </c>
      <c r="B1213" t="s">
        <v>2557</v>
      </c>
      <c r="C1213" s="4" t="str">
        <f>IF(ISERROR(_xlfn.XMATCH(B1213,newlist!B:B,0)),"not found","found")</f>
        <v>found</v>
      </c>
    </row>
  </sheetData>
  <autoFilter ref="A1:C1213" xr:uid="{2FF638A6-5335-45DC-8234-3FD15F656FA5}">
    <filterColumn colId="2">
      <filters>
        <filter val="not found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D575-711D-4BAF-A827-78E2CD2545BB}">
  <dimension ref="A1:E3"/>
  <sheetViews>
    <sheetView workbookViewId="0">
      <selection activeCell="E2" activeCellId="2" sqref="B3 E3 E2"/>
    </sheetView>
  </sheetViews>
  <sheetFormatPr defaultRowHeight="14.35" x14ac:dyDescent="0.5"/>
  <cols>
    <col min="1" max="1" width="8.234375" bestFit="1" customWidth="1"/>
  </cols>
  <sheetData>
    <row r="1" spans="1:5" x14ac:dyDescent="0.5">
      <c r="A1" s="2" t="s">
        <v>2818</v>
      </c>
      <c r="B1" s="2"/>
      <c r="D1" s="2" t="s">
        <v>2821</v>
      </c>
      <c r="E1" s="2"/>
    </row>
    <row r="2" spans="1:5" x14ac:dyDescent="0.5">
      <c r="A2" t="s">
        <v>2819</v>
      </c>
      <c r="B2">
        <f>COUNTIF(newlist!C:C,A2)</f>
        <v>1183</v>
      </c>
      <c r="D2" t="s">
        <v>2819</v>
      </c>
      <c r="E2">
        <f>COUNTIF(oldlist!C:C,A2)</f>
        <v>1183</v>
      </c>
    </row>
    <row r="3" spans="1:5" x14ac:dyDescent="0.5">
      <c r="A3" t="s">
        <v>2820</v>
      </c>
      <c r="B3">
        <f>COUNTIF(newlist!C:C,A3)</f>
        <v>186</v>
      </c>
      <c r="D3" t="s">
        <v>2820</v>
      </c>
      <c r="E3">
        <f>COUNTIF(oldlist!C:C,A3)</f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StockAnalysis_JSG_All_Enriched_</vt:lpstr>
      <vt:lpstr>newlist</vt:lpstr>
      <vt:lpstr>oldlist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 O KUMAR</cp:lastModifiedBy>
  <dcterms:created xsi:type="dcterms:W3CDTF">2026-08-02T04:58:47Z</dcterms:created>
  <dcterms:modified xsi:type="dcterms:W3CDTF">2026-08-02T05:17:13Z</dcterms:modified>
</cp:coreProperties>
</file>