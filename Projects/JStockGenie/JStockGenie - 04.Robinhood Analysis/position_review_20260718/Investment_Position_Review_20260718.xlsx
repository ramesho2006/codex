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x\Projects\JStockGenie\JStockGenie - 04.Robinhood Analysis\position_review_20260718\"/>
    </mc:Choice>
  </mc:AlternateContent>
  <xr:revisionPtr revIDLastSave="0" documentId="13_ncr:1_{F2436D0B-A4F0-496A-977F-ECF1C6FCD9AA}" xr6:coauthVersionLast="47" xr6:coauthVersionMax="47" xr10:uidLastSave="{00000000-0000-0000-0000-000000000000}"/>
  <bookViews>
    <workbookView xWindow="-93" yWindow="-93" windowWidth="25786" windowHeight="13986" activeTab="2" xr2:uid="{00000000-000D-0000-FFFF-FFFF00000000}"/>
  </bookViews>
  <sheets>
    <sheet name="Summary" sheetId="1" r:id="rId1"/>
    <sheet name="Robinhood Options" sheetId="2" r:id="rId2"/>
    <sheet name="Robinhood Stocks" sheetId="3" r:id="rId3"/>
    <sheet name="Fidelity Stocks" sheetId="4" r:id="rId4"/>
  </sheets>
  <calcPr calcId="0"/>
</workbook>
</file>

<file path=xl/sharedStrings.xml><?xml version="1.0" encoding="utf-8"?>
<sst xmlns="http://schemas.openxmlformats.org/spreadsheetml/2006/main" count="248" uniqueCount="105">
  <si>
    <t>Investment Position Review</t>
  </si>
  <si>
    <t>As of</t>
  </si>
  <si>
    <t>2026-07-18 / latest available market close</t>
  </si>
  <si>
    <t>Source workbook</t>
  </si>
  <si>
    <t>O:\DB001A-MYFILES\01.Personal\India Investments\My Investment Positions.xlsx</t>
  </si>
  <si>
    <t>Market data</t>
  </si>
  <si>
    <t>Yahoo Finance via yfinance where available; workbook marks used as fallback</t>
  </si>
  <si>
    <t>Scope</t>
  </si>
  <si>
    <t>Robinhood options, Robinhood stocks, Fidelity stocks</t>
  </si>
  <si>
    <t>Note</t>
  </si>
  <si>
    <t>Analytical suggestions only; verify prices, tax impact, assignment risk, and account constraints before trading.</t>
  </si>
  <si>
    <t>group</t>
  </si>
  <si>
    <t>positions</t>
  </si>
  <si>
    <t>HOLD</t>
  </si>
  <si>
    <t>BUY_TO_CLOSE_OR_VERIFY_COVERAGE</t>
  </si>
  <si>
    <t>ROLL_OR_ACCEPT_ASSIGNMENT</t>
  </si>
  <si>
    <t>SELL_REVIEW</t>
  </si>
  <si>
    <t>Robinhood Options</t>
  </si>
  <si>
    <t>Robinhood Stocks</t>
  </si>
  <si>
    <t>Fidelity Stocks</t>
  </si>
  <si>
    <t>broker</t>
  </si>
  <si>
    <t>account</t>
  </si>
  <si>
    <t>symbol</t>
  </si>
  <si>
    <t>trade</t>
  </si>
  <si>
    <t>qty</t>
  </si>
  <si>
    <t>expiration</t>
  </si>
  <si>
    <t>dte_from_2026_07_18</t>
  </si>
  <si>
    <t>strike</t>
  </si>
  <si>
    <t>underlying_price</t>
  </si>
  <si>
    <t>option_mark_used</t>
  </si>
  <si>
    <t>broker_sheet_mark</t>
  </si>
  <si>
    <t>chain_match_status</t>
  </si>
  <si>
    <t>bid</t>
  </si>
  <si>
    <t>ask</t>
  </si>
  <si>
    <t>last</t>
  </si>
  <si>
    <t>implied_volatility</t>
  </si>
  <si>
    <t>open_interest</t>
  </si>
  <si>
    <t>avg_credit</t>
  </si>
  <si>
    <t>mtm_pnl_short_option</t>
  </si>
  <si>
    <t>intrinsic_value</t>
  </si>
  <si>
    <t>extrinsic_value</t>
  </si>
  <si>
    <t>moneyness_pct</t>
  </si>
  <si>
    <t>covered_shares_found</t>
  </si>
  <si>
    <t>covered_call_status</t>
  </si>
  <si>
    <t>cash_secured_put_obligation</t>
  </si>
  <si>
    <t>recommendation</t>
  </si>
  <si>
    <t>reason</t>
  </si>
  <si>
    <t>Robinhood</t>
  </si>
  <si>
    <t>My Investments - Options</t>
  </si>
  <si>
    <t>MSFT</t>
  </si>
  <si>
    <t>Sell Call</t>
  </si>
  <si>
    <t>2026-12-18</t>
  </si>
  <si>
    <t>exact</t>
  </si>
  <si>
    <t>True</t>
  </si>
  <si>
    <t>Covered call still has meaningful premium/time; keep monitoring strike risk.</t>
  </si>
  <si>
    <t>SLV</t>
  </si>
  <si>
    <t>2027-01-15</t>
  </si>
  <si>
    <t>IVV</t>
  </si>
  <si>
    <t>2028-06-16</t>
  </si>
  <si>
    <t>SPY</t>
  </si>
  <si>
    <t>Traditional IRA - Options</t>
  </si>
  <si>
    <t>NVDA</t>
  </si>
  <si>
    <t>2026-07-31</t>
  </si>
  <si>
    <t>False</t>
  </si>
  <si>
    <t>Short call coverage not found in RH_Stocks for the same account; verify immediately.</t>
  </si>
  <si>
    <t>Roth IRA - Options</t>
  </si>
  <si>
    <t>APH</t>
  </si>
  <si>
    <t>Sell Put</t>
  </si>
  <si>
    <t>2026-08-21</t>
  </si>
  <si>
    <t>Short put remains active; hold if willing to own shares at strike minus credit.</t>
  </si>
  <si>
    <t>GPC</t>
  </si>
  <si>
    <t>Short put is ITM/losing; roll only if you want shares and can support collateral.</t>
  </si>
  <si>
    <t>current_price</t>
  </si>
  <si>
    <t>price_source</t>
  </si>
  <si>
    <t>avg_cost</t>
  </si>
  <si>
    <t>market_value</t>
  </si>
  <si>
    <t>cost_basis</t>
  </si>
  <si>
    <t>unrealized_pnl</t>
  </si>
  <si>
    <t>unrealized_pnl_pct</t>
  </si>
  <si>
    <t>My Investments</t>
  </si>
  <si>
    <t>yfinance_last_close</t>
  </si>
  <si>
    <t>Core/index exposure; keep unless rebalancing duplicate S&amp;P 500 concentration.</t>
  </si>
  <si>
    <t>Below cost and commodity ETF; keep only if you want silver exposure, otherwise trim/let covered call work.</t>
  </si>
  <si>
    <t>Quality holding but below workbook cost; covered call is active, so avoid adding until option plan is resolved.</t>
  </si>
  <si>
    <t>My Agentic</t>
  </si>
  <si>
    <t>AEP</t>
  </si>
  <si>
    <t>Weak versus cost; review exit/trim unless trend signal improves.</t>
  </si>
  <si>
    <t>HWM</t>
  </si>
  <si>
    <t>Momentum/gain position; hold but do not chase small fractional position aggressively.</t>
  </si>
  <si>
    <t>CASY</t>
  </si>
  <si>
    <t>VLO</t>
  </si>
  <si>
    <t>FFIV</t>
  </si>
  <si>
    <t>Default risk review based on unrealized P/L and no stronger local signal.</t>
  </si>
  <si>
    <t>Fidelity</t>
  </si>
  <si>
    <t>Roth IRA</t>
  </si>
  <si>
    <t>SPMO</t>
  </si>
  <si>
    <t>VTI</t>
  </si>
  <si>
    <t>VCR</t>
  </si>
  <si>
    <t>Diversifier; hold unless portfolio target allocation says otherwise.</t>
  </si>
  <si>
    <t>SCHD</t>
  </si>
  <si>
    <t>BND</t>
  </si>
  <si>
    <t>Defensive/cash-like or bond ballast; keep for liquidity/risk balance.</t>
  </si>
  <si>
    <t>VIG</t>
  </si>
  <si>
    <t>SGOV</t>
  </si>
  <si>
    <t>VXUS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</si>
</sst>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sz val="10"/>
      <name val="Aptos"/>
    </font>
    <font>
      <b/>
      <sz val="10"/>
      <color rgb="FFFFFFFF"/>
      <name val="Aptos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0" xfId="0" applyFont="1" applyFill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4" borderId="1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4" fillId="4" borderId="3" xfId="0" applyFont="1" applyFill="1" applyBorder="1" applyAlignment="1">
      <alignment wrapText="1"/>
    </xf>
    <xf numFmtId="0" fontId="1" fillId="2" borderId="0" xfId="0" applyFont="1" applyFill="1"/>
    <xf numFmtId="0" fontId="0" fillId="0" borderId="0" xfId="0"/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</cellXfs>
  <cellStyles count="1">
    <cellStyle name="Normal" xfId="0" builtinId="0"/>
  </cellStyles>
  <dxfs count="12">
    <dxf>
      <font>
        <color rgb="FF9A3412"/>
      </font>
      <fill>
        <patternFill patternType="solid">
          <bgColor rgb="FFFFEDD5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A3412"/>
      </font>
      <fill>
        <patternFill patternType="solid">
          <bgColor rgb="FFFFEDD5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A3412"/>
      </font>
      <fill>
        <patternFill patternType="solid">
          <bgColor rgb="FFFFEDD5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activeCell="D9" sqref="D9"/>
    </sheetView>
  </sheetViews>
  <sheetFormatPr defaultRowHeight="13.7"/>
  <cols>
    <col min="1" max="1" width="13.88671875" customWidth="1"/>
    <col min="2" max="2" width="81.5" customWidth="1"/>
    <col min="3" max="3" width="5" customWidth="1"/>
    <col min="4" max="4" width="37.27734375" customWidth="1"/>
    <col min="5" max="5" width="32.0546875" customWidth="1"/>
    <col min="6" max="6" width="11" customWidth="1"/>
  </cols>
  <sheetData>
    <row r="1" spans="1:8" ht="20">
      <c r="A1" s="11" t="s">
        <v>0</v>
      </c>
      <c r="B1" s="12"/>
      <c r="C1" s="12"/>
      <c r="D1" s="12"/>
      <c r="E1" s="12"/>
      <c r="F1" s="12"/>
      <c r="G1" s="12"/>
      <c r="H1" s="12"/>
    </row>
    <row r="3" spans="1:8">
      <c r="A3" s="1" t="s">
        <v>1</v>
      </c>
      <c r="B3" t="s">
        <v>2</v>
      </c>
    </row>
    <row r="4" spans="1:8">
      <c r="A4" s="1" t="s">
        <v>3</v>
      </c>
      <c r="B4" t="s">
        <v>4</v>
      </c>
    </row>
    <row r="5" spans="1:8">
      <c r="A5" s="1" t="s">
        <v>5</v>
      </c>
      <c r="B5" t="s">
        <v>6</v>
      </c>
    </row>
    <row r="6" spans="1:8">
      <c r="A6" s="1" t="s">
        <v>7</v>
      </c>
      <c r="B6" t="s">
        <v>8</v>
      </c>
    </row>
    <row r="7" spans="1:8">
      <c r="A7" s="1" t="s">
        <v>9</v>
      </c>
      <c r="B7" t="s">
        <v>10</v>
      </c>
    </row>
    <row r="9" spans="1:8" ht="48.7" customHeight="1">
      <c r="A9" s="8" t="s">
        <v>11</v>
      </c>
      <c r="B9" s="9" t="s">
        <v>12</v>
      </c>
      <c r="C9" s="9" t="s">
        <v>13</v>
      </c>
      <c r="D9" s="9" t="s">
        <v>14</v>
      </c>
      <c r="E9" s="9" t="s">
        <v>15</v>
      </c>
      <c r="F9" s="10" t="s">
        <v>16</v>
      </c>
    </row>
    <row r="10" spans="1:8" ht="15" customHeight="1">
      <c r="A10" s="2" t="s">
        <v>17</v>
      </c>
      <c r="B10" s="3">
        <v>7</v>
      </c>
      <c r="C10" s="3">
        <v>5</v>
      </c>
      <c r="D10" s="3">
        <v>1</v>
      </c>
      <c r="E10" s="3">
        <v>1</v>
      </c>
      <c r="F10" s="4"/>
    </row>
    <row r="11" spans="1:8" ht="15" customHeight="1">
      <c r="A11" s="2" t="s">
        <v>18</v>
      </c>
      <c r="B11" s="3">
        <v>9</v>
      </c>
      <c r="C11" s="3">
        <v>7</v>
      </c>
      <c r="D11" s="3"/>
      <c r="E11" s="3"/>
      <c r="F11" s="4">
        <v>2</v>
      </c>
    </row>
    <row r="12" spans="1:8" ht="15" customHeight="1">
      <c r="A12" s="5" t="s">
        <v>19</v>
      </c>
      <c r="B12" s="6">
        <v>10</v>
      </c>
      <c r="C12" s="6">
        <v>10</v>
      </c>
      <c r="D12" s="6"/>
      <c r="E12" s="6"/>
      <c r="F12" s="7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"/>
  <sheetViews>
    <sheetView showGridLines="0" topLeftCell="P1" workbookViewId="0">
      <selection activeCell="P1" sqref="A1:XFD1"/>
    </sheetView>
  </sheetViews>
  <sheetFormatPr defaultRowHeight="13.7"/>
  <cols>
    <col min="1" max="1" width="8.38671875" style="16" customWidth="1"/>
    <col min="2" max="2" width="18.88671875" style="16" customWidth="1"/>
    <col min="3" max="3" width="6.109375" style="16" customWidth="1"/>
    <col min="4" max="4" width="6.5" style="16" customWidth="1"/>
    <col min="5" max="5" width="3" style="16" customWidth="1"/>
    <col min="6" max="6" width="8.88671875" style="16" customWidth="1"/>
    <col min="7" max="7" width="16.88671875" style="16" customWidth="1"/>
    <col min="8" max="8" width="4.88671875" style="16" customWidth="1"/>
    <col min="9" max="9" width="13.21875" style="16" customWidth="1"/>
    <col min="10" max="10" width="14.609375" style="16" customWidth="1"/>
    <col min="11" max="11" width="15.21875" style="16" customWidth="1"/>
    <col min="12" max="12" width="15.88671875" style="16" customWidth="1"/>
    <col min="13" max="14" width="4.609375" style="16" customWidth="1"/>
    <col min="15" max="15" width="5.5" style="16" customWidth="1"/>
    <col min="16" max="16" width="18.71875" style="16" customWidth="1"/>
    <col min="17" max="17" width="14" style="16" customWidth="1"/>
    <col min="18" max="18" width="8.38671875" style="16" customWidth="1"/>
    <col min="19" max="19" width="17.71875" style="16" customWidth="1"/>
    <col min="20" max="20" width="11.71875" style="16" customWidth="1"/>
    <col min="21" max="21" width="12" style="16" customWidth="1"/>
    <col min="22" max="22" width="12.5" style="16" customWidth="1"/>
    <col min="23" max="23" width="17.71875" style="16" customWidth="1"/>
    <col min="24" max="24" width="19.27734375" style="16" customWidth="1"/>
    <col min="25" max="25" width="26.6640625" style="16" customWidth="1"/>
    <col min="26" max="26" width="30.109375" style="16" customWidth="1"/>
    <col min="27" max="27" width="61" style="16" customWidth="1"/>
    <col min="28" max="16384" width="8.88671875" style="16"/>
  </cols>
  <sheetData>
    <row r="1" spans="1:27" ht="40.450000000000003" customHeight="1">
      <c r="A1" s="13" t="s">
        <v>20</v>
      </c>
      <c r="B1" s="14" t="s">
        <v>21</v>
      </c>
      <c r="C1" s="14" t="s">
        <v>22</v>
      </c>
      <c r="D1" s="14" t="s">
        <v>23</v>
      </c>
      <c r="E1" s="14" t="s">
        <v>24</v>
      </c>
      <c r="F1" s="14" t="s">
        <v>25</v>
      </c>
      <c r="G1" s="14" t="s">
        <v>26</v>
      </c>
      <c r="H1" s="14" t="s">
        <v>27</v>
      </c>
      <c r="I1" s="14" t="s">
        <v>28</v>
      </c>
      <c r="J1" s="14" t="s">
        <v>29</v>
      </c>
      <c r="K1" s="14" t="s">
        <v>30</v>
      </c>
      <c r="L1" s="14" t="s">
        <v>31</v>
      </c>
      <c r="M1" s="14" t="s">
        <v>32</v>
      </c>
      <c r="N1" s="14" t="s">
        <v>33</v>
      </c>
      <c r="O1" s="14" t="s">
        <v>34</v>
      </c>
      <c r="P1" s="14" t="s">
        <v>35</v>
      </c>
      <c r="Q1" s="14" t="s">
        <v>36</v>
      </c>
      <c r="R1" s="14" t="s">
        <v>37</v>
      </c>
      <c r="S1" s="14" t="s">
        <v>38</v>
      </c>
      <c r="T1" s="14" t="s">
        <v>39</v>
      </c>
      <c r="U1" s="14" t="s">
        <v>40</v>
      </c>
      <c r="V1" s="14" t="s">
        <v>41</v>
      </c>
      <c r="W1" s="14" t="s">
        <v>42</v>
      </c>
      <c r="X1" s="14" t="s">
        <v>43</v>
      </c>
      <c r="Y1" s="14" t="s">
        <v>44</v>
      </c>
      <c r="Z1" s="14" t="s">
        <v>45</v>
      </c>
      <c r="AA1" s="15" t="s">
        <v>46</v>
      </c>
    </row>
    <row r="2" spans="1:27" ht="15" customHeight="1">
      <c r="A2" s="17" t="s">
        <v>47</v>
      </c>
      <c r="B2" s="18" t="s">
        <v>48</v>
      </c>
      <c r="C2" s="18" t="s">
        <v>49</v>
      </c>
      <c r="D2" s="18" t="s">
        <v>50</v>
      </c>
      <c r="E2" s="18">
        <v>2</v>
      </c>
      <c r="F2" s="18" t="s">
        <v>51</v>
      </c>
      <c r="G2" s="18">
        <v>153</v>
      </c>
      <c r="H2" s="18">
        <v>470</v>
      </c>
      <c r="I2" s="18">
        <v>393.82</v>
      </c>
      <c r="J2" s="18">
        <v>16.48</v>
      </c>
      <c r="K2" s="18">
        <v>15.88</v>
      </c>
      <c r="L2" s="18" t="s">
        <v>52</v>
      </c>
      <c r="M2" s="18">
        <v>15.8</v>
      </c>
      <c r="N2" s="18">
        <v>17.149999999999999</v>
      </c>
      <c r="O2" s="18">
        <v>16.97</v>
      </c>
      <c r="P2" s="18">
        <v>0.40952128570556634</v>
      </c>
      <c r="Q2" s="18">
        <v>2757</v>
      </c>
      <c r="R2" s="18">
        <v>16.059999999999999</v>
      </c>
      <c r="S2" s="18">
        <v>-83</v>
      </c>
      <c r="T2" s="18">
        <v>0</v>
      </c>
      <c r="U2" s="18">
        <v>16.48</v>
      </c>
      <c r="V2" s="18">
        <v>-16.21</v>
      </c>
      <c r="W2" s="18">
        <v>200.44</v>
      </c>
      <c r="X2" s="18" t="s">
        <v>53</v>
      </c>
      <c r="Y2" s="18"/>
      <c r="Z2" s="18" t="s">
        <v>13</v>
      </c>
      <c r="AA2" s="19" t="s">
        <v>54</v>
      </c>
    </row>
    <row r="3" spans="1:27" ht="15" customHeight="1">
      <c r="A3" s="17" t="s">
        <v>47</v>
      </c>
      <c r="B3" s="18" t="s">
        <v>48</v>
      </c>
      <c r="C3" s="18" t="s">
        <v>55</v>
      </c>
      <c r="D3" s="18" t="s">
        <v>50</v>
      </c>
      <c r="E3" s="18">
        <v>2</v>
      </c>
      <c r="F3" s="18" t="s">
        <v>56</v>
      </c>
      <c r="G3" s="18">
        <v>181</v>
      </c>
      <c r="H3" s="18">
        <v>65</v>
      </c>
      <c r="I3" s="18">
        <v>50.78</v>
      </c>
      <c r="J3" s="18">
        <v>2.63</v>
      </c>
      <c r="K3" s="18">
        <v>2.67</v>
      </c>
      <c r="L3" s="18" t="s">
        <v>52</v>
      </c>
      <c r="M3" s="18">
        <v>2.5099999999999998</v>
      </c>
      <c r="N3" s="18">
        <v>2.76</v>
      </c>
      <c r="O3" s="18">
        <v>2.69</v>
      </c>
      <c r="P3" s="18">
        <v>0.4919484399414063</v>
      </c>
      <c r="Q3" s="18">
        <v>28471</v>
      </c>
      <c r="R3" s="18">
        <v>3.17</v>
      </c>
      <c r="S3" s="18">
        <v>107</v>
      </c>
      <c r="T3" s="18">
        <v>0</v>
      </c>
      <c r="U3" s="18">
        <v>2.63</v>
      </c>
      <c r="V3" s="18">
        <v>-21.88</v>
      </c>
      <c r="W3" s="18">
        <v>200</v>
      </c>
      <c r="X3" s="18" t="s">
        <v>53</v>
      </c>
      <c r="Y3" s="18"/>
      <c r="Z3" s="18" t="s">
        <v>13</v>
      </c>
      <c r="AA3" s="19" t="s">
        <v>54</v>
      </c>
    </row>
    <row r="4" spans="1:27" ht="15" customHeight="1">
      <c r="A4" s="17" t="s">
        <v>47</v>
      </c>
      <c r="B4" s="18" t="s">
        <v>48</v>
      </c>
      <c r="C4" s="18" t="s">
        <v>57</v>
      </c>
      <c r="D4" s="18" t="s">
        <v>50</v>
      </c>
      <c r="E4" s="18">
        <v>1</v>
      </c>
      <c r="F4" s="18" t="s">
        <v>58</v>
      </c>
      <c r="G4" s="18">
        <v>699</v>
      </c>
      <c r="H4" s="18">
        <v>750</v>
      </c>
      <c r="I4" s="18">
        <v>746.72</v>
      </c>
      <c r="J4" s="18">
        <v>105</v>
      </c>
      <c r="K4" s="18">
        <v>107</v>
      </c>
      <c r="L4" s="18" t="s">
        <v>52</v>
      </c>
      <c r="M4" s="18">
        <v>102.5</v>
      </c>
      <c r="N4" s="18">
        <v>107.5</v>
      </c>
      <c r="O4" s="18">
        <v>103.45</v>
      </c>
      <c r="P4" s="18">
        <v>0.26548357204437251</v>
      </c>
      <c r="Q4" s="18">
        <v>13</v>
      </c>
      <c r="R4" s="18">
        <v>103.45</v>
      </c>
      <c r="S4" s="18">
        <v>-155</v>
      </c>
      <c r="T4" s="18">
        <v>0</v>
      </c>
      <c r="U4" s="18">
        <v>105</v>
      </c>
      <c r="V4" s="18">
        <v>-0.44</v>
      </c>
      <c r="W4" s="18">
        <v>100.26</v>
      </c>
      <c r="X4" s="18" t="s">
        <v>53</v>
      </c>
      <c r="Y4" s="18"/>
      <c r="Z4" s="18" t="s">
        <v>13</v>
      </c>
      <c r="AA4" s="19" t="s">
        <v>54</v>
      </c>
    </row>
    <row r="5" spans="1:27" ht="15" customHeight="1">
      <c r="A5" s="17" t="s">
        <v>47</v>
      </c>
      <c r="B5" s="18" t="s">
        <v>48</v>
      </c>
      <c r="C5" s="18" t="s">
        <v>59</v>
      </c>
      <c r="D5" s="18" t="s">
        <v>50</v>
      </c>
      <c r="E5" s="18">
        <v>1</v>
      </c>
      <c r="F5" s="18" t="s">
        <v>58</v>
      </c>
      <c r="G5" s="18">
        <v>699</v>
      </c>
      <c r="H5" s="18">
        <v>750</v>
      </c>
      <c r="I5" s="18">
        <v>743.29</v>
      </c>
      <c r="J5" s="18">
        <v>102.4</v>
      </c>
      <c r="K5" s="18">
        <v>104.86</v>
      </c>
      <c r="L5" s="18" t="s">
        <v>52</v>
      </c>
      <c r="M5" s="18">
        <v>100.3</v>
      </c>
      <c r="N5" s="18">
        <v>104.5</v>
      </c>
      <c r="O5" s="18">
        <v>103.87</v>
      </c>
      <c r="P5" s="18">
        <v>0.26287053054809578</v>
      </c>
      <c r="Q5" s="18">
        <v>460</v>
      </c>
      <c r="R5" s="18">
        <v>102.01</v>
      </c>
      <c r="S5" s="18">
        <v>-39</v>
      </c>
      <c r="T5" s="18">
        <v>0</v>
      </c>
      <c r="U5" s="18">
        <v>102.4</v>
      </c>
      <c r="V5" s="18">
        <v>-0.89</v>
      </c>
      <c r="W5" s="18">
        <v>100.25</v>
      </c>
      <c r="X5" s="18" t="s">
        <v>53</v>
      </c>
      <c r="Y5" s="18"/>
      <c r="Z5" s="18" t="s">
        <v>13</v>
      </c>
      <c r="AA5" s="19" t="s">
        <v>54</v>
      </c>
    </row>
    <row r="6" spans="1:27" ht="15" customHeight="1">
      <c r="A6" s="17" t="s">
        <v>47</v>
      </c>
      <c r="B6" s="18" t="s">
        <v>60</v>
      </c>
      <c r="C6" s="18" t="s">
        <v>61</v>
      </c>
      <c r="D6" s="18" t="s">
        <v>50</v>
      </c>
      <c r="E6" s="18">
        <v>1</v>
      </c>
      <c r="F6" s="18" t="s">
        <v>62</v>
      </c>
      <c r="G6" s="18">
        <v>13</v>
      </c>
      <c r="H6" s="18">
        <v>155</v>
      </c>
      <c r="I6" s="18">
        <v>202.81</v>
      </c>
      <c r="J6" s="18">
        <v>48.38</v>
      </c>
      <c r="K6" s="18">
        <v>51.08</v>
      </c>
      <c r="L6" s="18" t="s">
        <v>52</v>
      </c>
      <c r="M6" s="18">
        <v>45.2</v>
      </c>
      <c r="N6" s="18">
        <v>51.55</v>
      </c>
      <c r="O6" s="18">
        <v>49.27</v>
      </c>
      <c r="P6" s="18">
        <v>0.8544936425781251</v>
      </c>
      <c r="Q6" s="18">
        <v>48</v>
      </c>
      <c r="R6" s="18">
        <v>54.25</v>
      </c>
      <c r="S6" s="18">
        <v>587.5</v>
      </c>
      <c r="T6" s="18">
        <v>47.81</v>
      </c>
      <c r="U6" s="18">
        <v>0.56999999999999995</v>
      </c>
      <c r="V6" s="18">
        <v>30.85</v>
      </c>
      <c r="W6" s="18">
        <v>0</v>
      </c>
      <c r="X6" s="18" t="s">
        <v>63</v>
      </c>
      <c r="Y6" s="18"/>
      <c r="Z6" s="18" t="s">
        <v>14</v>
      </c>
      <c r="AA6" s="19" t="s">
        <v>64</v>
      </c>
    </row>
    <row r="7" spans="1:27" ht="15" customHeight="1">
      <c r="A7" s="17" t="s">
        <v>47</v>
      </c>
      <c r="B7" s="18" t="s">
        <v>65</v>
      </c>
      <c r="C7" s="18" t="s">
        <v>66</v>
      </c>
      <c r="D7" s="18" t="s">
        <v>67</v>
      </c>
      <c r="E7" s="18">
        <v>1</v>
      </c>
      <c r="F7" s="18" t="s">
        <v>68</v>
      </c>
      <c r="G7" s="18">
        <v>34</v>
      </c>
      <c r="H7" s="18">
        <v>150</v>
      </c>
      <c r="I7" s="18">
        <v>151.19999999999999</v>
      </c>
      <c r="J7" s="18">
        <v>10.5</v>
      </c>
      <c r="K7" s="18">
        <v>10.050000000000001</v>
      </c>
      <c r="L7" s="18" t="s">
        <v>52</v>
      </c>
      <c r="M7" s="18">
        <v>10.199999999999999</v>
      </c>
      <c r="N7" s="18">
        <v>10.8</v>
      </c>
      <c r="O7" s="18">
        <v>10.5</v>
      </c>
      <c r="P7" s="18">
        <v>0.60571683349609384</v>
      </c>
      <c r="Q7" s="18">
        <v>441</v>
      </c>
      <c r="R7" s="18">
        <v>8</v>
      </c>
      <c r="S7" s="18">
        <v>-250</v>
      </c>
      <c r="T7" s="18">
        <v>0</v>
      </c>
      <c r="U7" s="18">
        <v>10.5</v>
      </c>
      <c r="V7" s="18">
        <v>-0.79</v>
      </c>
      <c r="W7" s="18"/>
      <c r="X7" s="18"/>
      <c r="Y7" s="18">
        <v>15000</v>
      </c>
      <c r="Z7" s="18" t="s">
        <v>13</v>
      </c>
      <c r="AA7" s="19" t="s">
        <v>69</v>
      </c>
    </row>
    <row r="8" spans="1:27" ht="15" customHeight="1">
      <c r="A8" s="20" t="s">
        <v>47</v>
      </c>
      <c r="B8" s="21" t="s">
        <v>65</v>
      </c>
      <c r="C8" s="21" t="s">
        <v>70</v>
      </c>
      <c r="D8" s="21" t="s">
        <v>67</v>
      </c>
      <c r="E8" s="21">
        <v>2</v>
      </c>
      <c r="F8" s="21" t="s">
        <v>68</v>
      </c>
      <c r="G8" s="21">
        <v>34</v>
      </c>
      <c r="H8" s="21">
        <v>125</v>
      </c>
      <c r="I8" s="21">
        <v>124.82</v>
      </c>
      <c r="J8" s="21">
        <v>5.95</v>
      </c>
      <c r="K8" s="21">
        <v>5.5</v>
      </c>
      <c r="L8" s="21" t="s">
        <v>52</v>
      </c>
      <c r="M8" s="21">
        <v>5.6</v>
      </c>
      <c r="N8" s="21">
        <v>6.3</v>
      </c>
      <c r="O8" s="21">
        <v>6</v>
      </c>
      <c r="P8" s="21">
        <v>0.4085752502441406</v>
      </c>
      <c r="Q8" s="21">
        <v>562</v>
      </c>
      <c r="R8" s="21">
        <v>4.75</v>
      </c>
      <c r="S8" s="21">
        <v>-240</v>
      </c>
      <c r="T8" s="21">
        <v>0.18</v>
      </c>
      <c r="U8" s="21">
        <v>5.77</v>
      </c>
      <c r="V8" s="21">
        <v>0.14000000000000001</v>
      </c>
      <c r="W8" s="21"/>
      <c r="X8" s="21"/>
      <c r="Y8" s="21">
        <v>25000</v>
      </c>
      <c r="Z8" s="21" t="s">
        <v>15</v>
      </c>
      <c r="AA8" s="22" t="s">
        <v>71</v>
      </c>
    </row>
  </sheetData>
  <conditionalFormatting sqref="Y2:Y8">
    <cfRule type="containsText" dxfId="11" priority="1" operator="containsText" text="HOLD"/>
    <cfRule type="containsText" dxfId="10" priority="2" operator="containsText" text="SELL"/>
    <cfRule type="containsText" dxfId="9" priority="3" operator="containsText" text="BUY_TO_CLOSE"/>
    <cfRule type="containsText" dxfId="8" priority="4" operator="containsText" text="ROLL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showGridLines="0" tabSelected="1" workbookViewId="0">
      <selection activeCell="A6" sqref="A6:XFD6"/>
    </sheetView>
  </sheetViews>
  <sheetFormatPr defaultRowHeight="13.7"/>
  <cols>
    <col min="1" max="1" width="8.38671875" customWidth="1"/>
    <col min="2" max="2" width="11.88671875" customWidth="1"/>
    <col min="3" max="3" width="6.109375" customWidth="1"/>
    <col min="4" max="4" width="7.21875" customWidth="1"/>
    <col min="5" max="5" width="10.71875" customWidth="1"/>
    <col min="6" max="6" width="14.71875" customWidth="1"/>
    <col min="7" max="7" width="7.21875" customWidth="1"/>
    <col min="8" max="8" width="10.88671875" customWidth="1"/>
    <col min="9" max="9" width="8.609375" customWidth="1"/>
    <col min="10" max="10" width="15.38671875" customWidth="1"/>
    <col min="11" max="11" width="21.5" customWidth="1"/>
    <col min="12" max="12" width="19.609375" customWidth="1"/>
    <col min="13" max="13" width="77.71875" customWidth="1"/>
  </cols>
  <sheetData>
    <row r="1" spans="1:13" ht="15" customHeight="1">
      <c r="A1" s="8" t="s">
        <v>20</v>
      </c>
      <c r="B1" s="9" t="s">
        <v>21</v>
      </c>
      <c r="C1" s="9" t="s">
        <v>22</v>
      </c>
      <c r="D1" s="9" t="s">
        <v>24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76</v>
      </c>
      <c r="J1" s="9" t="s">
        <v>77</v>
      </c>
      <c r="K1" s="9" t="s">
        <v>78</v>
      </c>
      <c r="L1" s="9" t="s">
        <v>45</v>
      </c>
      <c r="M1" s="10" t="s">
        <v>46</v>
      </c>
    </row>
    <row r="2" spans="1:13" ht="15" customHeight="1">
      <c r="A2" s="2" t="s">
        <v>47</v>
      </c>
      <c r="B2" s="3" t="s">
        <v>79</v>
      </c>
      <c r="C2" s="3" t="s">
        <v>59</v>
      </c>
      <c r="D2" s="3">
        <v>100.25</v>
      </c>
      <c r="E2" s="3">
        <v>743.29</v>
      </c>
      <c r="F2" s="3" t="s">
        <v>80</v>
      </c>
      <c r="G2" s="3">
        <v>637.54999999999995</v>
      </c>
      <c r="H2" s="3">
        <v>74514.820000000007</v>
      </c>
      <c r="I2" s="3">
        <v>63914.39</v>
      </c>
      <c r="J2" s="3">
        <v>10600.43</v>
      </c>
      <c r="K2" s="3">
        <v>16.59</v>
      </c>
      <c r="L2" s="3" t="s">
        <v>13</v>
      </c>
      <c r="M2" s="4" t="s">
        <v>81</v>
      </c>
    </row>
    <row r="3" spans="1:13" ht="15" customHeight="1">
      <c r="A3" s="2" t="s">
        <v>47</v>
      </c>
      <c r="B3" s="3" t="s">
        <v>79</v>
      </c>
      <c r="C3" s="3" t="s">
        <v>57</v>
      </c>
      <c r="D3" s="3">
        <v>100.26</v>
      </c>
      <c r="E3" s="3">
        <v>746.72</v>
      </c>
      <c r="F3" s="3" t="s">
        <v>80</v>
      </c>
      <c r="G3" s="3">
        <v>621.65</v>
      </c>
      <c r="H3" s="3">
        <v>74866.14</v>
      </c>
      <c r="I3" s="3">
        <v>62326.63</v>
      </c>
      <c r="J3" s="3">
        <v>12539.52</v>
      </c>
      <c r="K3" s="3">
        <v>20.12</v>
      </c>
      <c r="L3" s="3" t="s">
        <v>13</v>
      </c>
      <c r="M3" s="4" t="s">
        <v>81</v>
      </c>
    </row>
    <row r="4" spans="1:13" ht="15" customHeight="1">
      <c r="A4" s="2" t="s">
        <v>47</v>
      </c>
      <c r="B4" s="3" t="s">
        <v>79</v>
      </c>
      <c r="C4" s="3" t="s">
        <v>55</v>
      </c>
      <c r="D4" s="3">
        <v>200</v>
      </c>
      <c r="E4" s="3">
        <v>50.78</v>
      </c>
      <c r="F4" s="3" t="s">
        <v>80</v>
      </c>
      <c r="G4" s="3">
        <v>62.12</v>
      </c>
      <c r="H4" s="3">
        <v>10156</v>
      </c>
      <c r="I4" s="3">
        <v>12424</v>
      </c>
      <c r="J4" s="3">
        <v>-2268</v>
      </c>
      <c r="K4" s="3">
        <v>-18.25</v>
      </c>
      <c r="L4" s="3" t="s">
        <v>16</v>
      </c>
      <c r="M4" s="4" t="s">
        <v>82</v>
      </c>
    </row>
    <row r="5" spans="1:13" ht="15" customHeight="1">
      <c r="A5" s="2" t="s">
        <v>47</v>
      </c>
      <c r="B5" s="3" t="s">
        <v>79</v>
      </c>
      <c r="C5" s="3" t="s">
        <v>49</v>
      </c>
      <c r="D5" s="3">
        <v>200.44</v>
      </c>
      <c r="E5" s="3">
        <v>393.82</v>
      </c>
      <c r="F5" s="3" t="s">
        <v>80</v>
      </c>
      <c r="G5" s="3">
        <v>449.27</v>
      </c>
      <c r="H5" s="3">
        <v>78937.279999999999</v>
      </c>
      <c r="I5" s="3">
        <v>90051.68</v>
      </c>
      <c r="J5" s="3">
        <v>-11114.4</v>
      </c>
      <c r="K5" s="3">
        <v>-12.34</v>
      </c>
      <c r="L5" s="3" t="s">
        <v>13</v>
      </c>
      <c r="M5" s="4" t="s">
        <v>83</v>
      </c>
    </row>
    <row r="6" spans="1:13" ht="15" customHeight="1">
      <c r="A6" s="2" t="s">
        <v>47</v>
      </c>
      <c r="B6" s="3" t="s">
        <v>84</v>
      </c>
      <c r="C6" s="3" t="s">
        <v>85</v>
      </c>
      <c r="D6" s="3">
        <v>0.72553100000000004</v>
      </c>
      <c r="E6" s="3">
        <v>132.13999999999999</v>
      </c>
      <c r="F6" s="3" t="s">
        <v>80</v>
      </c>
      <c r="G6" s="3">
        <v>272.99</v>
      </c>
      <c r="H6" s="3">
        <v>95.87</v>
      </c>
      <c r="I6" s="3">
        <v>198.06</v>
      </c>
      <c r="J6" s="3">
        <v>-102.19</v>
      </c>
      <c r="K6" s="3">
        <v>-51.6</v>
      </c>
      <c r="L6" s="3" t="s">
        <v>16</v>
      </c>
      <c r="M6" s="4" t="s">
        <v>86</v>
      </c>
    </row>
    <row r="7" spans="1:13" ht="15" customHeight="1">
      <c r="A7" s="2" t="s">
        <v>47</v>
      </c>
      <c r="B7" s="3" t="s">
        <v>84</v>
      </c>
      <c r="C7" s="3" t="s">
        <v>87</v>
      </c>
      <c r="D7" s="3">
        <v>0.384409</v>
      </c>
      <c r="E7" s="3">
        <v>272.43</v>
      </c>
      <c r="F7" s="3" t="s">
        <v>80</v>
      </c>
      <c r="G7" s="3">
        <v>137.83000000000001</v>
      </c>
      <c r="H7" s="3">
        <v>104.72</v>
      </c>
      <c r="I7" s="3">
        <v>52.98</v>
      </c>
      <c r="J7" s="3">
        <v>51.74</v>
      </c>
      <c r="K7" s="3">
        <v>97.66</v>
      </c>
      <c r="L7" s="3" t="s">
        <v>13</v>
      </c>
      <c r="M7" s="4" t="s">
        <v>88</v>
      </c>
    </row>
    <row r="8" spans="1:13" ht="15" customHeight="1">
      <c r="A8" s="2" t="s">
        <v>47</v>
      </c>
      <c r="B8" s="3" t="s">
        <v>84</v>
      </c>
      <c r="C8" s="3" t="s">
        <v>89</v>
      </c>
      <c r="D8" s="3">
        <v>0.13117500000000001</v>
      </c>
      <c r="E8" s="3">
        <v>859.12</v>
      </c>
      <c r="F8" s="3" t="s">
        <v>80</v>
      </c>
      <c r="G8" s="3">
        <v>800</v>
      </c>
      <c r="H8" s="3">
        <v>112.7</v>
      </c>
      <c r="I8" s="3">
        <v>104.94</v>
      </c>
      <c r="J8" s="3">
        <v>7.76</v>
      </c>
      <c r="K8" s="3">
        <v>7.39</v>
      </c>
      <c r="L8" s="3" t="s">
        <v>13</v>
      </c>
      <c r="M8" s="4" t="s">
        <v>88</v>
      </c>
    </row>
    <row r="9" spans="1:13" ht="15" customHeight="1">
      <c r="A9" s="2" t="s">
        <v>47</v>
      </c>
      <c r="B9" s="3" t="s">
        <v>84</v>
      </c>
      <c r="C9" s="3" t="s">
        <v>90</v>
      </c>
      <c r="D9" s="3">
        <v>0.60924599999999995</v>
      </c>
      <c r="E9" s="3">
        <v>309.64999999999998</v>
      </c>
      <c r="F9" s="3" t="s">
        <v>80</v>
      </c>
      <c r="G9" s="3">
        <v>287.24</v>
      </c>
      <c r="H9" s="3">
        <v>188.65</v>
      </c>
      <c r="I9" s="3">
        <v>175</v>
      </c>
      <c r="J9" s="3">
        <v>13.65</v>
      </c>
      <c r="K9" s="3">
        <v>7.8</v>
      </c>
      <c r="L9" s="3" t="s">
        <v>13</v>
      </c>
      <c r="M9" s="4" t="s">
        <v>88</v>
      </c>
    </row>
    <row r="10" spans="1:13" ht="15" customHeight="1">
      <c r="A10" s="5" t="s">
        <v>47</v>
      </c>
      <c r="B10" s="6" t="s">
        <v>84</v>
      </c>
      <c r="C10" s="6" t="s">
        <v>91</v>
      </c>
      <c r="D10" s="6">
        <v>0.409912</v>
      </c>
      <c r="E10" s="6">
        <v>409.1</v>
      </c>
      <c r="F10" s="6" t="s">
        <v>80</v>
      </c>
      <c r="G10" s="6">
        <v>426.92</v>
      </c>
      <c r="H10" s="6">
        <v>167.7</v>
      </c>
      <c r="I10" s="6">
        <v>175</v>
      </c>
      <c r="J10" s="6">
        <v>-7.3</v>
      </c>
      <c r="K10" s="6">
        <v>-4.17</v>
      </c>
      <c r="L10" s="6" t="s">
        <v>13</v>
      </c>
      <c r="M10" s="7" t="s">
        <v>92</v>
      </c>
    </row>
  </sheetData>
  <conditionalFormatting sqref="L2:L10">
    <cfRule type="containsText" dxfId="7" priority="1" operator="containsText" text="HOLD"/>
    <cfRule type="containsText" dxfId="6" priority="2" operator="containsText" text="SELL"/>
    <cfRule type="containsText" dxfId="5" priority="3" operator="containsText" text="BUY_TO_CLOSE"/>
    <cfRule type="containsText" dxfId="4" priority="4" operator="containsText" text="ROLL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showGridLines="0" workbookViewId="0"/>
  </sheetViews>
  <sheetFormatPr defaultRowHeight="13.7"/>
  <cols>
    <col min="1" max="1" width="5.71875" customWidth="1"/>
    <col min="2" max="2" width="6.71875" customWidth="1"/>
    <col min="3" max="3" width="6.109375" customWidth="1"/>
    <col min="4" max="4" width="5.5" customWidth="1"/>
    <col min="5" max="5" width="10.71875" customWidth="1"/>
    <col min="6" max="6" width="14.71875" customWidth="1"/>
    <col min="7" max="7" width="7.21875" customWidth="1"/>
    <col min="8" max="8" width="10.88671875" customWidth="1"/>
    <col min="9" max="9" width="8.609375" customWidth="1"/>
    <col min="10" max="10" width="11.71875" customWidth="1"/>
    <col min="11" max="11" width="15" customWidth="1"/>
    <col min="12" max="12" width="13.609375" customWidth="1"/>
    <col min="13" max="13" width="57.88671875" customWidth="1"/>
  </cols>
  <sheetData>
    <row r="1" spans="1:13" ht="15" customHeight="1">
      <c r="A1" s="8" t="s">
        <v>20</v>
      </c>
      <c r="B1" s="9" t="s">
        <v>21</v>
      </c>
      <c r="C1" s="9" t="s">
        <v>22</v>
      </c>
      <c r="D1" s="9" t="s">
        <v>24</v>
      </c>
      <c r="E1" s="9" t="s">
        <v>72</v>
      </c>
      <c r="F1" s="9" t="s">
        <v>73</v>
      </c>
      <c r="G1" s="9" t="s">
        <v>74</v>
      </c>
      <c r="H1" s="9" t="s">
        <v>75</v>
      </c>
      <c r="I1" s="9" t="s">
        <v>76</v>
      </c>
      <c r="J1" s="9" t="s">
        <v>77</v>
      </c>
      <c r="K1" s="9" t="s">
        <v>78</v>
      </c>
      <c r="L1" s="9" t="s">
        <v>45</v>
      </c>
      <c r="M1" s="10" t="s">
        <v>46</v>
      </c>
    </row>
    <row r="2" spans="1:13" ht="15" customHeight="1">
      <c r="A2" s="2" t="s">
        <v>93</v>
      </c>
      <c r="B2" s="3" t="s">
        <v>94</v>
      </c>
      <c r="C2" s="3" t="s">
        <v>95</v>
      </c>
      <c r="D2" s="3">
        <v>16.422999999999998</v>
      </c>
      <c r="E2" s="3">
        <v>143.88999999999999</v>
      </c>
      <c r="F2" s="3" t="s">
        <v>80</v>
      </c>
      <c r="G2" s="3">
        <v>105.65</v>
      </c>
      <c r="H2" s="3">
        <v>2363.11</v>
      </c>
      <c r="I2" s="3">
        <v>1735.09</v>
      </c>
      <c r="J2" s="3">
        <v>628.02</v>
      </c>
      <c r="K2" s="3">
        <v>36.19</v>
      </c>
      <c r="L2" s="3" t="s">
        <v>13</v>
      </c>
      <c r="M2" s="4" t="s">
        <v>81</v>
      </c>
    </row>
    <row r="3" spans="1:13" ht="15" customHeight="1">
      <c r="A3" s="2" t="s">
        <v>93</v>
      </c>
      <c r="B3" s="3" t="s">
        <v>94</v>
      </c>
      <c r="C3" s="3" t="s">
        <v>57</v>
      </c>
      <c r="D3" s="3">
        <v>3.27</v>
      </c>
      <c r="E3" s="3">
        <v>746.72</v>
      </c>
      <c r="F3" s="3" t="s">
        <v>80</v>
      </c>
      <c r="G3" s="3">
        <v>635.59</v>
      </c>
      <c r="H3" s="3">
        <v>2441.77</v>
      </c>
      <c r="I3" s="3">
        <v>2078.38</v>
      </c>
      <c r="J3" s="3">
        <v>363.4</v>
      </c>
      <c r="K3" s="3">
        <v>17.48</v>
      </c>
      <c r="L3" s="3" t="s">
        <v>13</v>
      </c>
      <c r="M3" s="4" t="s">
        <v>81</v>
      </c>
    </row>
    <row r="4" spans="1:13" ht="15" customHeight="1">
      <c r="A4" s="2" t="s">
        <v>93</v>
      </c>
      <c r="B4" s="3" t="s">
        <v>94</v>
      </c>
      <c r="C4" s="3" t="s">
        <v>96</v>
      </c>
      <c r="D4" s="3">
        <v>6.6529999999999996</v>
      </c>
      <c r="E4" s="3">
        <v>367.01</v>
      </c>
      <c r="F4" s="3" t="s">
        <v>80</v>
      </c>
      <c r="G4" s="3">
        <v>312.45</v>
      </c>
      <c r="H4" s="3">
        <v>2441.7199999999998</v>
      </c>
      <c r="I4" s="3">
        <v>2078.73</v>
      </c>
      <c r="J4" s="3">
        <v>362.99</v>
      </c>
      <c r="K4" s="3">
        <v>17.46</v>
      </c>
      <c r="L4" s="3" t="s">
        <v>13</v>
      </c>
      <c r="M4" s="4" t="s">
        <v>81</v>
      </c>
    </row>
    <row r="5" spans="1:13" ht="15" customHeight="1">
      <c r="A5" s="2" t="s">
        <v>93</v>
      </c>
      <c r="B5" s="3" t="s">
        <v>94</v>
      </c>
      <c r="C5" s="3" t="s">
        <v>59</v>
      </c>
      <c r="D5" s="3">
        <v>3.2850000000000001</v>
      </c>
      <c r="E5" s="3">
        <v>743.29</v>
      </c>
      <c r="F5" s="3" t="s">
        <v>80</v>
      </c>
      <c r="G5" s="3">
        <v>635.30999999999995</v>
      </c>
      <c r="H5" s="3">
        <v>2441.71</v>
      </c>
      <c r="I5" s="3">
        <v>2086.9899999999998</v>
      </c>
      <c r="J5" s="3">
        <v>354.71</v>
      </c>
      <c r="K5" s="3">
        <v>17</v>
      </c>
      <c r="L5" s="3" t="s">
        <v>13</v>
      </c>
      <c r="M5" s="4" t="s">
        <v>81</v>
      </c>
    </row>
    <row r="6" spans="1:13" ht="15" customHeight="1">
      <c r="A6" s="2" t="s">
        <v>93</v>
      </c>
      <c r="B6" s="3" t="s">
        <v>94</v>
      </c>
      <c r="C6" s="3" t="s">
        <v>97</v>
      </c>
      <c r="D6" s="3">
        <v>6.3070000000000004</v>
      </c>
      <c r="E6" s="3">
        <v>391.55</v>
      </c>
      <c r="F6" s="3" t="s">
        <v>80</v>
      </c>
      <c r="G6" s="3">
        <v>385.9</v>
      </c>
      <c r="H6" s="3">
        <v>2469.5100000000002</v>
      </c>
      <c r="I6" s="3">
        <v>2433.87</v>
      </c>
      <c r="J6" s="3">
        <v>35.630000000000003</v>
      </c>
      <c r="K6" s="3">
        <v>1.46</v>
      </c>
      <c r="L6" s="3" t="s">
        <v>13</v>
      </c>
      <c r="M6" s="4" t="s">
        <v>98</v>
      </c>
    </row>
    <row r="7" spans="1:13" ht="15" customHeight="1">
      <c r="A7" s="2" t="s">
        <v>93</v>
      </c>
      <c r="B7" s="3" t="s">
        <v>94</v>
      </c>
      <c r="C7" s="3" t="s">
        <v>99</v>
      </c>
      <c r="D7" s="3">
        <v>74.902000000000001</v>
      </c>
      <c r="E7" s="3">
        <v>32.909999999999997</v>
      </c>
      <c r="F7" s="3" t="s">
        <v>80</v>
      </c>
      <c r="G7" s="3">
        <v>32.479999999999997</v>
      </c>
      <c r="H7" s="3">
        <v>2465.02</v>
      </c>
      <c r="I7" s="3">
        <v>2432.8200000000002</v>
      </c>
      <c r="J7" s="3">
        <v>32.21</v>
      </c>
      <c r="K7" s="3">
        <v>1.32</v>
      </c>
      <c r="L7" s="3" t="s">
        <v>13</v>
      </c>
      <c r="M7" s="4" t="s">
        <v>98</v>
      </c>
    </row>
    <row r="8" spans="1:13" ht="15" customHeight="1">
      <c r="A8" s="2" t="s">
        <v>93</v>
      </c>
      <c r="B8" s="3" t="s">
        <v>94</v>
      </c>
      <c r="C8" s="3" t="s">
        <v>100</v>
      </c>
      <c r="D8" s="3">
        <v>33.512</v>
      </c>
      <c r="E8" s="3">
        <v>72.86</v>
      </c>
      <c r="F8" s="3" t="s">
        <v>80</v>
      </c>
      <c r="G8" s="3">
        <v>72.61</v>
      </c>
      <c r="H8" s="3">
        <v>2441.6799999999998</v>
      </c>
      <c r="I8" s="3">
        <v>2433.31</v>
      </c>
      <c r="J8" s="3">
        <v>8.3800000000000008</v>
      </c>
      <c r="K8" s="3">
        <v>0.34</v>
      </c>
      <c r="L8" s="3" t="s">
        <v>13</v>
      </c>
      <c r="M8" s="4" t="s">
        <v>101</v>
      </c>
    </row>
    <row r="9" spans="1:13" ht="15" customHeight="1">
      <c r="A9" s="2" t="s">
        <v>93</v>
      </c>
      <c r="B9" s="3" t="s">
        <v>94</v>
      </c>
      <c r="C9" s="3" t="s">
        <v>102</v>
      </c>
      <c r="D9" s="3">
        <v>10.25</v>
      </c>
      <c r="E9" s="3">
        <v>237.61</v>
      </c>
      <c r="F9" s="3" t="s">
        <v>80</v>
      </c>
      <c r="G9" s="3">
        <v>237.38</v>
      </c>
      <c r="H9" s="3">
        <v>2435.5</v>
      </c>
      <c r="I9" s="3">
        <v>2433.14</v>
      </c>
      <c r="J9" s="3">
        <v>2.36</v>
      </c>
      <c r="K9" s="3">
        <v>0.1</v>
      </c>
      <c r="L9" s="3" t="s">
        <v>13</v>
      </c>
      <c r="M9" s="4" t="s">
        <v>98</v>
      </c>
    </row>
    <row r="10" spans="1:13" ht="15" customHeight="1">
      <c r="A10" s="2" t="s">
        <v>93</v>
      </c>
      <c r="B10" s="3" t="s">
        <v>94</v>
      </c>
      <c r="C10" s="3" t="s">
        <v>103</v>
      </c>
      <c r="D10" s="3">
        <v>24.219000000000001</v>
      </c>
      <c r="E10" s="3">
        <v>100.58</v>
      </c>
      <c r="F10" s="3" t="s">
        <v>80</v>
      </c>
      <c r="G10" s="3">
        <v>100.46</v>
      </c>
      <c r="H10" s="3">
        <v>2435.9499999999998</v>
      </c>
      <c r="I10" s="3">
        <v>2433.04</v>
      </c>
      <c r="J10" s="3">
        <v>2.91</v>
      </c>
      <c r="K10" s="3">
        <v>0.12</v>
      </c>
      <c r="L10" s="3" t="s">
        <v>13</v>
      </c>
      <c r="M10" s="4" t="s">
        <v>101</v>
      </c>
    </row>
    <row r="11" spans="1:13" ht="15" customHeight="1">
      <c r="A11" s="5" t="s">
        <v>93</v>
      </c>
      <c r="B11" s="6" t="s">
        <v>94</v>
      </c>
      <c r="C11" s="6" t="s">
        <v>104</v>
      </c>
      <c r="D11" s="6">
        <v>29.113</v>
      </c>
      <c r="E11" s="6">
        <v>83.37</v>
      </c>
      <c r="F11" s="6" t="s">
        <v>80</v>
      </c>
      <c r="G11" s="6">
        <v>83.58</v>
      </c>
      <c r="H11" s="6">
        <v>2427.15</v>
      </c>
      <c r="I11" s="6">
        <v>2433.2600000000002</v>
      </c>
      <c r="J11" s="6">
        <v>-6.11</v>
      </c>
      <c r="K11" s="6">
        <v>-0.25</v>
      </c>
      <c r="L11" s="6" t="s">
        <v>13</v>
      </c>
      <c r="M11" s="7" t="s">
        <v>98</v>
      </c>
    </row>
  </sheetData>
  <conditionalFormatting sqref="L2:L11">
    <cfRule type="containsText" dxfId="3" priority="1" operator="containsText" text="HOLD"/>
    <cfRule type="containsText" dxfId="2" priority="2" operator="containsText" text="SELL"/>
    <cfRule type="containsText" dxfId="1" priority="3" operator="containsText" text="BUY_TO_CLOSE"/>
    <cfRule type="containsText" dxfId="0" priority="4" operator="containsText" text="ROLL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Robinhood Options</vt:lpstr>
      <vt:lpstr>Robinhood Stocks</vt:lpstr>
      <vt:lpstr>Fidelity 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RAMESH O KUMAR</cp:lastModifiedBy>
  <dcterms:modified xsi:type="dcterms:W3CDTF">2026-07-19T05:12:27Z</dcterms:modified>
</cp:coreProperties>
</file>