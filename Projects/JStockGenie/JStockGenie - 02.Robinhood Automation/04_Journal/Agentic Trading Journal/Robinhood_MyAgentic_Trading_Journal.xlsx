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9509c2f6d546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 Journal" sheetId="1" r:id="R9b0677e226524781"/>
    <x:sheet xmlns:r="http://schemas.openxmlformats.org/officeDocument/2006/relationships" name="PL Tracking" sheetId="2" r:id="R3494f95844f1407e"/>
    <x:sheet xmlns:r="http://schemas.openxmlformats.org/officeDocument/2006/relationships" name="Routine Notes" sheetId="3" r:id="R9bb48baaa9764ba6"/>
    <x:sheet xmlns:r="http://schemas.openxmlformats.org/officeDocument/2006/relationships" name="Update Log" sheetId="4" r:id="Rce67800ed24a46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.00;[Red]($#,##0.00);-"/>
    <x:numFmt numFmtId="201" formatCode="yyyy-mm-dd"/>
    <x:numFmt numFmtId="202" formatCode="yyyy_mm_dd"/>
    <x:numFmt numFmtId="203" formatCode="#,##0.000000;[Red](#,##0.000000);-"/>
    <x:numFmt numFmtId="204" formatCode="0.00%;[Red](0.00%);-"/>
    <x:numFmt numFmtId="205" formatCode="#,##0.000000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66666"/>
      <x:name val="Carlito"/>
    </x:font>
    <x:font>
      <x:b/>
      <x:sz val="11"/>
      <x:color rgb="FF000000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i/>
      <x:sz val="10"/>
      <x:color rgb="FF666666"/>
      <x:name val="Aptos"/>
    </x:font>
    <x:font>
      <x:sz val="10"/>
      <x:name val="Aptos"/>
    </x:font>
    <x:font>
      <x:b/>
      <x:sz val="10"/>
      <x:color rgb="FF00000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0F766E"/>
      </x:patternFill>
    </x:fill>
  </x:fills>
  <x:borders count="9">
    <x:border/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D9E2F3"/>
      </x:bottom>
    </x:border>
  </x:borders>
  <x:cellStyleXfs count="1">
    <x:xf numFmtId="0" fontId="0" fillId="0" borderId="0"/>
  </x:cellStyleXfs>
  <x:cellXfs count="1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200" fontId="3" fillId="3" borderId="2" xfId="0" applyNumberFormat="1" applyFont="1" applyFill="1" applyBorder="1"/>
    <x:xf numFmtId="200" fontId="3" fillId="3" borderId="4" xfId="0" applyNumberFormat="1" applyFont="1" applyFill="1" applyBorder="1"/>
    <x:xf numFmtId="200" fontId="3" fillId="3" borderId="6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7" xfId="0" applyNumberFormat="1" applyFont="1" applyFill="1" applyBorder="1"/>
    <x:xf numFmtId="0" fontId="4" fillId="4" borderId="7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horizontal="center" wrapText="1"/>
    </x:xf>
    <x:xf numFmtId="0" fontId="4" fillId="4" borderId="7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3" xfId="0" applyNumberFormat="1" applyFont="1" applyFill="1" applyBorder="1"/>
    <x:xf numFmtId="0" fontId="0" fillId="0" borderId="0" xfId="0" applyNumberFormat="1" applyFont="1" applyFill="1" applyBorder="1"/>
    <x:xf numFmtId="202" fontId="0" fillId="0" borderId="4" xfId="0" applyNumberFormat="1" applyFont="1" applyFill="1" applyBorder="1"/>
    <x:xf numFmtId="201" fontId="0" fillId="0" borderId="5" xfId="0" applyNumberFormat="1" applyFont="1" applyFill="1" applyBorder="1"/>
    <x:xf numFmtId="0" fontId="0" fillId="0" borderId="8" xfId="0" applyNumberFormat="1" applyFont="1" applyFill="1" applyBorder="1"/>
    <x:xf numFmtId="203" fontId="0" fillId="0" borderId="8" xfId="0" applyNumberFormat="1" applyFont="1" applyFill="1" applyBorder="1"/>
    <x:xf numFmtId="200" fontId="0" fillId="0" borderId="8" xfId="0" applyNumberFormat="1" applyFont="1" applyFill="1" applyBorder="1"/>
    <x:xf numFmtId="202" fontId="0" fillId="0" borderId="6" xfId="0" applyNumberFormat="1" applyFont="1" applyFill="1" applyBorder="1"/>
    <x:xf numFmtId="201" fontId="0" fillId="0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2" fontId="0" fillId="0" borderId="6" xfId="0" applyNumberFormat="1" applyFont="1" applyFill="1" applyBorder="1" applyAlignment="1">
      <x:alignment wrapText="1"/>
    </x:xf>
    <x:xf numFmtId="201" fontId="0" fillId="0" borderId="3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2" fontId="0" fillId="0" borderId="4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203" fontId="0" fillId="0" borderId="8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2" fontId="0" fillId="0" borderId="6" xfId="0" applyNumberFormat="1" applyFont="1" applyFill="1" applyBorder="1" applyAlignment="1">
      <x:alignment vertical="top" wrapText="1"/>
    </x:xf>
    <x:xf numFmtId="204" fontId="3" fillId="3" borderId="4" xfId="0" applyNumberFormat="1" applyFont="1" applyFill="1" applyBorder="1"/>
    <x:xf numFmtId="205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3" xfId="0" applyNumberFormat="1" applyFont="1" applyFill="1" applyBorder="1"/>
    <x:xf numFmtId="0" fontId="0" fillId="0" borderId="5" xfId="0" applyNumberFormat="1" applyFont="1" applyFill="1" applyBorder="1"/>
    <x:xf numFmtId="205" fontId="0" fillId="0" borderId="8" xfId="0" applyNumberFormat="1" applyFont="1" applyFill="1" applyBorder="1"/>
    <x:xf numFmtId="204" fontId="0" fillId="0" borderId="8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5" fontId="0" fillId="0" borderId="8" xfId="0" applyNumberFormat="1" applyFont="1" applyFill="1" applyBorder="1" applyAlignment="1">
      <x:alignment wrapText="1"/>
    </x:xf>
    <x:xf numFmtId="204" fontId="0" fillId="0" borderId="8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5" fontId="0" fillId="0" borderId="8" xfId="0" applyNumberFormat="1" applyFont="1" applyFill="1" applyBorder="1" applyAlignment="1">
      <x:alignment vertical="top" wrapText="1"/>
    </x:xf>
    <x:xf numFmtId="204" fontId="0" fillId="0" borderId="8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/>
    <x:xf numFmtId="202" fontId="0" fillId="0" borderId="5" xfId="0" applyNumberFormat="1" applyFont="1" applyFill="1" applyBorder="1"/>
    <x:xf numFmtId="202" fontId="0" fillId="0" borderId="3" xfId="0" applyNumberFormat="1" applyFont="1" applyFill="1" applyBorder="1" applyAlignment="1">
      <x:alignment wrapText="1"/>
    </x:xf>
    <x:xf numFmtId="202" fontId="0" fillId="0" borderId="5" xfId="0" applyNumberFormat="1" applyFont="1" applyFill="1" applyBorder="1" applyAlignment="1">
      <x:alignment wrapText="1"/>
    </x:xf>
    <x:xf numFmtId="202" fontId="0" fillId="0" borderId="3" xfId="0" applyNumberFormat="1" applyFont="1" applyFill="1" applyBorder="1" applyAlignment="1">
      <x:alignment vertical="top" wrapText="1"/>
    </x:xf>
    <x:xf numFmtId="202" fontId="0" fillId="0" borderId="5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3" borderId="1" xfId="0" applyNumberFormat="1" applyFont="1" applyFill="1" applyBorder="1"/>
    <x:xf numFmtId="200" fontId="8" fillId="3" borderId="2" xfId="0" applyNumberFormat="1" applyFont="1" applyFill="1" applyBorder="1"/>
    <x:xf numFmtId="0" fontId="8" fillId="3" borderId="3" xfId="0" applyNumberFormat="1" applyFont="1" applyFill="1" applyBorder="1"/>
    <x:xf numFmtId="200" fontId="8" fillId="3" borderId="4" xfId="0" applyNumberFormat="1" applyFont="1" applyFill="1" applyBorder="1"/>
    <x:xf numFmtId="0" fontId="8" fillId="3" borderId="5" xfId="0" applyNumberFormat="1" applyFont="1" applyFill="1" applyBorder="1"/>
    <x:xf numFmtId="200" fontId="8" fillId="3" borderId="6" xfId="0" applyNumberFormat="1" applyFont="1" applyFill="1" applyBorder="1"/>
    <x:xf numFmtId="0" fontId="5" fillId="4" borderId="7" xfId="0" applyNumberFormat="1" applyFont="1" applyFill="1" applyBorder="1" applyAlignment="1">
      <x:alignment horizontal="center" vertical="center" wrapText="1"/>
    </x:xf>
    <x:xf numFmtId="201" fontId="7" fillId="0" borderId="3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203" fontId="7" fillId="0" borderId="0" xfId="0" applyNumberFormat="1" applyFont="1" applyFill="1" applyBorder="1" applyAlignment="1">
      <x:alignment vertical="top" wrapText="1"/>
    </x:xf>
    <x:xf numFmtId="200" fontId="7" fillId="0" borderId="0" xfId="0" applyNumberFormat="1" applyFont="1" applyFill="1" applyBorder="1" applyAlignment="1">
      <x:alignment vertical="top" wrapText="1"/>
    </x:xf>
    <x:xf numFmtId="202" fontId="7" fillId="0" borderId="4" xfId="0" applyNumberFormat="1" applyFont="1" applyFill="1" applyBorder="1" applyAlignment="1">
      <x:alignment vertical="top" wrapText="1"/>
    </x:xf>
    <x:xf numFmtId="201" fontId="7" fillId="0" borderId="5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203" fontId="7" fillId="0" borderId="8" xfId="0" applyNumberFormat="1" applyFont="1" applyFill="1" applyBorder="1" applyAlignment="1">
      <x:alignment vertical="top" wrapText="1"/>
    </x:xf>
    <x:xf numFmtId="200" fontId="7" fillId="0" borderId="8" xfId="0" applyNumberFormat="1" applyFont="1" applyFill="1" applyBorder="1" applyAlignment="1">
      <x:alignment vertical="top" wrapText="1"/>
    </x:xf>
    <x:xf numFmtId="202" fontId="7" fillId="0" borderId="6" xfId="0" applyNumberFormat="1" applyFont="1" applyFill="1" applyBorder="1" applyAlignment="1">
      <x:alignment vertical="top" wrapText="1"/>
    </x:xf>
    <x:xf numFmtId="204" fontId="8" fillId="3" borderId="4" xfId="0" applyNumberFormat="1" applyFont="1" applyFill="1" applyBorder="1"/>
    <x:xf numFmtId="0" fontId="8" fillId="3" borderId="6" xfId="0" applyNumberFormat="1" applyFont="1" applyFill="1" applyBorder="1"/>
    <x:xf numFmtId="0" fontId="7" fillId="0" borderId="3" xfId="0" applyNumberFormat="1" applyFont="1" applyFill="1" applyBorder="1" applyAlignment="1">
      <x:alignment vertical="top" wrapText="1"/>
    </x:xf>
    <x:xf numFmtId="205" fontId="7" fillId="0" borderId="0" xfId="0" applyNumberFormat="1" applyFont="1" applyFill="1" applyBorder="1" applyAlignment="1">
      <x:alignment vertical="top" wrapText="1"/>
    </x:xf>
    <x:xf numFmtId="204" fontId="7" fillId="0" borderId="0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205" fontId="7" fillId="0" borderId="8" xfId="0" applyNumberFormat="1" applyFont="1" applyFill="1" applyBorder="1" applyAlignment="1">
      <x:alignment vertical="top" wrapText="1"/>
    </x:xf>
    <x:xf numFmtId="204" fontId="7" fillId="0" borderId="8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202" fontId="7" fillId="0" borderId="3" xfId="0" applyNumberFormat="1" applyFont="1" applyFill="1" applyBorder="1" applyAlignment="1">
      <x:alignment vertical="top" wrapText="1"/>
    </x:xf>
    <x:xf numFmtId="202" fontId="7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ecafc642754068" /><Relationship Type="http://schemas.openxmlformats.org/officeDocument/2006/relationships/theme" Target="/xl/theme/theme1.xml" Id="Rdb9f4b8d5496470e" /><Relationship Type="http://schemas.openxmlformats.org/officeDocument/2006/relationships/sharedStrings" Target="/xl/sharedStrings.xml" Id="R075194637c354c2c" /><Relationship Type="http://schemas.openxmlformats.org/officeDocument/2006/relationships/worksheet" Target="/xl/worksheets/sheet1.xml" Id="R9b0677e226524781" /><Relationship Type="http://schemas.openxmlformats.org/officeDocument/2006/relationships/worksheet" Target="/xl/worksheets/sheet2.xml" Id="R3494f95844f1407e" /><Relationship Type="http://schemas.openxmlformats.org/officeDocument/2006/relationships/worksheet" Target="/xl/worksheets/sheet3.xml" Id="R9bb48baaa9764ba6" /><Relationship Type="http://schemas.openxmlformats.org/officeDocument/2006/relationships/worksheet" Target="/xl/worksheets/sheet4.xml" Id="Rce67800ed24a462b" /></Relationships>
</file>

<file path=xl/tables/table1.xml><?xml version="1.0" encoding="utf-8"?>
<x:table xmlns:x="http://schemas.openxmlformats.org/spreadsheetml/2006/main" id="1" name="TransactionJournalTable" displayName="TransactionJournalTable" ref="A11:P22" headerRowCount="1" totalsRowCount="0" totalsRowShown="0">
  <x:tableColumns count="16">
    <x:tableColumn id="1" name="Date"/>
    <x:tableColumn id="2" name="Category"/>
    <x:tableColumn id="3" name="Week"/>
    <x:tableColumn id="4" name="Symbol"/>
    <x:tableColumn id="5" name="Side"/>
    <x:tableColumn id="6" name="Status"/>
    <x:tableColumn id="7" name="Qty"/>
    <x:tableColumn id="8" name="Price"/>
    <x:tableColumn id="9" name="Gross Amount"/>
    <x:tableColumn id="10" name="Fees"/>
    <x:tableColumn id="11" name="Cash Flow"/>
    <x:tableColumn id="12" name="Cost Basis"/>
    <x:tableColumn id="13" name="Realized P/L"/>
    <x:tableColumn id="14" name="Order ID"/>
    <x:tableColumn id="15" name="Notes"/>
    <x:tableColumn id="16" name="Last Updated 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TrackingTable" displayName="PLTrackingTable" ref="A12:O19" headerRowCount="1" totalsRowCount="0" totalsRowShown="0">
  <x:tableColumns count="15">
    <x:tableColumn id="1" name="Symbol"/>
    <x:tableColumn id="2" name="Position Status"/>
    <x:tableColumn id="3" name="Current Qty"/>
    <x:tableColumn id="4" name="Avg Cost"/>
    <x:tableColumn id="5" name="Mark Price"/>
    <x:tableColumn id="6" name="Cost Basis"/>
    <x:tableColumn id="7" name="Market Value"/>
    <x:tableColumn id="8" name="Unrealized P/L"/>
    <x:tableColumn id="9" name="Unrealized P/L %"/>
    <x:tableColumn id="10" name="Open Order Side"/>
    <x:tableColumn id="11" name="Open Order Qty/$"/>
    <x:tableColumn id="12" name="Open Order Status"/>
    <x:tableColumn id="13" name="Realized P/L Since Start"/>
    <x:tableColumn id="14" name="Notes"/>
    <x:tableColumn id="15" name="Last Updated 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utineNotesTable" displayName="RoutineNotesTable" ref="A3:F8" headerRowCount="1" totalsRowCount="0" totalsRowShown="0">
  <x:tableColumns count="6">
    <x:tableColumn id="1" name="Step"/>
    <x:tableColumn id="2" name="Action"/>
    <x:tableColumn id="3" name="Workbook Update"/>
    <x:tableColumn id="4" name="Source"/>
    <x:tableColumn id="5" name="Frequency"/>
    <x:tableColumn id="6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pdateLogTable" displayName="UpdateLogTable" ref="A3:E7" headerRowCount="1" totalsRowCount="0" totalsRowShown="0">
  <x:tableColumns count="5">
    <x:tableColumn id="1" name="Updated Date"/>
    <x:tableColumn id="2" name="Week"/>
    <x:tableColumn id="3" name="Update Type"/>
    <x:tableColumn id="4" name="Summary"/>
    <x:tableColumn id="5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7b1bd59e6f4a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ac86b9eb14a47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4fd465023c642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b2317afbe7844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2" hidden="0" customWidth="1"/>
    <x:col min="4" max="4" width="10" hidden="0" customWidth="1"/>
    <x:col min="5" max="5" width="9" hidden="0" customWidth="1"/>
    <x:col min="6" max="6" width="11" hidden="0" customWidth="1"/>
    <x:col min="7" max="7" width="12" hidden="0" customWidth="1"/>
    <x:col min="8" max="8" width="11" hidden="0" customWidth="1"/>
    <x:col min="9" max="9" width="13" hidden="0" customWidth="1"/>
    <x:col min="10" max="10" width="9" hidden="0" customWidth="1"/>
    <x:col min="11" max="11" width="13" hidden="0" customWidth="1"/>
    <x:col min="12" max="12" width="13" hidden="0" customWidth="1"/>
    <x:col min="13" max="13" width="13" hidden="0" customWidth="1"/>
    <x:col min="14" max="14" width="38" hidden="0" customWidth="1"/>
    <x:col min="15" max="15" width="58" hidden="0" customWidth="1"/>
    <x:col min="16" max="16" width="18" hidden="0" customWidth="1"/>
  </x:cols>
  <x:sheetData>
    <x:row r="1" ht="15" hidden="0" customHeight="1">
      <x:c r="A1" s="86" t="str">
        <x:v>Agentic Trading Transaction Journal</x:v>
      </x:c>
      <x:c r="B1" s="86" t="str">
        <x:v>Agentic Trading Transaction Journal</x:v>
      </x:c>
      <x:c r="C1" s="86" t="str">
        <x:v>Agentic Trading Transaction Journal</x:v>
      </x:c>
      <x:c r="D1" s="86" t="str">
        <x:v>Agentic Trading Transaction Journal</x:v>
      </x:c>
      <x:c r="E1" s="86" t="str">
        <x:v>Agentic Trading Transaction Journal</x:v>
      </x:c>
      <x:c r="F1" s="86" t="str">
        <x:v>Agentic Trading Transaction Journal</x:v>
      </x:c>
      <x:c r="G1" s="86" t="str">
        <x:v>Agentic Trading Transaction Journal</x:v>
      </x:c>
      <x:c r="H1" s="86" t="str">
        <x:v>Agentic Trading Transaction Journal</x:v>
      </x:c>
      <x:c r="I1" s="86" t="str">
        <x:v>Agentic Trading Transaction Journal</x:v>
      </x:c>
      <x:c r="J1" s="86" t="str">
        <x:v>Agentic Trading Transaction Journal</x:v>
      </x:c>
      <x:c r="K1" s="86" t="str">
        <x:v>Agentic Trading Transaction Journal</x:v>
      </x:c>
      <x:c r="L1" s="86" t="str">
        <x:v>Agentic Trading Transaction Journal</x:v>
      </x:c>
      <x:c r="M1" s="86" t="str">
        <x:v>Agentic Trading Transaction Journal</x:v>
      </x:c>
      <x:c r="N1" s="86" t="str">
        <x:v>Agentic Trading Transaction Journal</x:v>
      </x:c>
      <x:c r="O1" s="86" t="str">
        <x:v>Agentic Trading Transaction Journal</x:v>
      </x:c>
      <x:c r="P1" s="86" t="str">
        <x:v>Agentic Trading Transaction Journal</x:v>
      </x:c>
    </x:row>
    <x:row r="2" ht="15" hidden="0" customHeight="1">
      <x:c r="A2" s="87" t="str">
        <x:v>Workbook generated from Robinhood Agentic account activity and weekly EQT basket routines. Amounts in USD.</x:v>
      </x:c>
      <x:c r="B2" s="87" t="str">
        <x:v>Workbook generated from Robinhood Agentic account activity and weekly EQT basket routines. Amounts in USD.</x:v>
      </x:c>
      <x:c r="C2" s="87" t="str">
        <x:v>Workbook generated from Robinhood Agentic account activity and weekly EQT basket routines. Amounts in USD.</x:v>
      </x:c>
      <x:c r="D2" s="87" t="str">
        <x:v>Workbook generated from Robinhood Agentic account activity and weekly EQT basket routines. Amounts in USD.</x:v>
      </x:c>
      <x:c r="E2" s="87" t="str">
        <x:v>Workbook generated from Robinhood Agentic account activity and weekly EQT basket routines. Amounts in USD.</x:v>
      </x:c>
      <x:c r="F2" s="87" t="str">
        <x:v>Workbook generated from Robinhood Agentic account activity and weekly EQT basket routines. Amounts in USD.</x:v>
      </x:c>
      <x:c r="G2" s="87" t="str">
        <x:v>Workbook generated from Robinhood Agentic account activity and weekly EQT basket routines. Amounts in USD.</x:v>
      </x:c>
      <x:c r="H2" s="87" t="str">
        <x:v>Workbook generated from Robinhood Agentic account activity and weekly EQT basket routines. Amounts in USD.</x:v>
      </x:c>
      <x:c r="I2" s="87" t="str">
        <x:v>Workbook generated from Robinhood Agentic account activity and weekly EQT basket routines. Amounts in USD.</x:v>
      </x:c>
      <x:c r="J2" s="87" t="str">
        <x:v>Workbook generated from Robinhood Agentic account activity and weekly EQT basket routines. Amounts in USD.</x:v>
      </x:c>
      <x:c r="K2" s="87" t="str">
        <x:v>Workbook generated from Robinhood Agentic account activity and weekly EQT basket routines. Amounts in USD.</x:v>
      </x:c>
      <x:c r="L2" s="87" t="str">
        <x:v>Workbook generated from Robinhood Agentic account activity and weekly EQT basket routines. Amounts in USD.</x:v>
      </x:c>
      <x:c r="M2" s="87" t="str">
        <x:v>Workbook generated from Robinhood Agentic account activity and weekly EQT basket routines. Amounts in USD.</x:v>
      </x:c>
      <x:c r="N2" s="87" t="str">
        <x:v>Workbook generated from Robinhood Agentic account activity and weekly EQT basket routines. Amounts in USD.</x:v>
      </x:c>
      <x:c r="O2" s="87" t="str">
        <x:v>Workbook generated from Robinhood Agentic account activity and weekly EQT basket routines. Amounts in USD.</x:v>
      </x:c>
      <x:c r="P2" s="87" t="str">
        <x:v>Workbook generated from Robinhood Agentic account activity and weekly EQT basket routines. Amounts in USD.</x:v>
      </x:c>
    </x:row>
    <x:row r="3" ht="15" hidden="0" customHeight="1">
      <x:c r="A3" s="88"/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</x:row>
    <x:row r="4" ht="15" hidden="0" customHeight="1">
      <x:c r="A4" s="89" t="str">
        <x:v>Opening Balance</x:v>
      </x:c>
      <x:c r="B4" s="90" t="n">
        <x:v>457.30405435</x:v>
      </x:c>
      <x:c r="C4" s="88"/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  <x:c r="O4" s="88"/>
      <x:c r="P4" s="88"/>
    </x:row>
    <x:row r="5" ht="15" hidden="0" customHeight="1">
      <x:c r="A5" s="91" t="str">
        <x:v>Funds Added</x:v>
      </x:c>
      <x:c r="B5" s="92" t="n">
        <x:v>750</x:v>
      </x:c>
      <x:c r="C5" s="88"/>
      <x:c r="D5" s="88"/>
      <x:c r="E5" s="88"/>
      <x:c r="F5" s="88"/>
      <x:c r="G5" s="88"/>
      <x:c r="H5" s="88"/>
      <x:c r="I5" s="88"/>
      <x:c r="J5" s="88"/>
      <x:c r="K5" s="88"/>
      <x:c r="L5" s="88"/>
      <x:c r="M5" s="88"/>
      <x:c r="N5" s="88"/>
      <x:c r="O5" s="88"/>
      <x:c r="P5" s="88"/>
    </x:row>
    <x:row r="6" ht="15" hidden="0" customHeight="1">
      <x:c r="A6" s="91" t="str">
        <x:v>Current Account Value</x:v>
      </x:c>
      <x:c r="B6" s="92" t="n">
        <x:v>1208.01360868</x:v>
      </x:c>
      <x:c r="C6" s="88"/>
      <x:c r="D6" s="88"/>
      <x:c r="E6" s="88"/>
      <x:c r="F6" s="88"/>
      <x:c r="G6" s="88"/>
      <x:c r="H6" s="88"/>
      <x:c r="I6" s="88"/>
      <x:c r="J6" s="88"/>
      <x:c r="K6" s="88"/>
      <x:c r="L6" s="88"/>
      <x:c r="M6" s="88"/>
      <x:c r="N6" s="88"/>
      <x:c r="O6" s="88"/>
      <x:c r="P6" s="88"/>
    </x:row>
    <x:row r="7" ht="15" hidden="0" customHeight="1">
      <x:c r="A7" s="91" t="str">
        <x:v>Current Cash</x:v>
      </x:c>
      <x:c r="B7" s="92" t="n">
        <x:v>807.31</x:v>
      </x:c>
      <x:c r="C7" s="88"/>
      <x:c r="D7" s="88"/>
      <x:c r="E7" s="88"/>
      <x:c r="F7" s="88"/>
      <x:c r="G7" s="88"/>
      <x:c r="H7" s="88"/>
      <x:c r="I7" s="88"/>
      <x:c r="J7" s="88"/>
      <x:c r="K7" s="88"/>
      <x:c r="L7" s="88"/>
      <x:c r="M7" s="88"/>
      <x:c r="N7" s="88"/>
      <x:c r="O7" s="88"/>
      <x:c r="P7" s="88"/>
    </x:row>
    <x:row r="8" ht="15" hidden="0" customHeight="1">
      <x:c r="A8" s="91" t="str">
        <x:v>Current Buying Power</x:v>
      </x:c>
      <x:c r="B8" s="92" t="n">
        <x:v>597.43</x:v>
      </x:c>
      <x:c r="C8" s="88"/>
      <x:c r="D8" s="88"/>
      <x:c r="E8" s="88"/>
      <x:c r="F8" s="88"/>
      <x:c r="G8" s="88"/>
      <x:c r="H8" s="88"/>
      <x:c r="I8" s="88"/>
      <x:c r="J8" s="88"/>
      <x:c r="K8" s="88"/>
      <x:c r="L8" s="88"/>
      <x:c r="M8" s="88"/>
      <x:c r="N8" s="88"/>
      <x:c r="O8" s="88"/>
      <x:c r="P8" s="88"/>
    </x:row>
    <x:row r="9" ht="15" hidden="0" customHeight="1">
      <x:c r="A9" s="93" t="str">
        <x:v>25% Cash Buffer Target</x:v>
      </x:c>
      <x:c r="B9" s="94" t="n">
        <x:f>B6*25%</x:f>
        <x:v>302.00340217</x:v>
      </x:c>
      <x:c r="C9" s="88"/>
      <x:c r="D9" s="88"/>
      <x:c r="E9" s="88"/>
      <x:c r="F9" s="88"/>
      <x:c r="G9" s="88"/>
      <x:c r="H9" s="88"/>
      <x:c r="I9" s="88"/>
      <x:c r="J9" s="88"/>
      <x:c r="K9" s="88"/>
      <x:c r="L9" s="88"/>
      <x:c r="M9" s="88"/>
      <x:c r="N9" s="88"/>
      <x:c r="O9" s="88"/>
      <x:c r="P9" s="88"/>
    </x:row>
    <x:row r="10" ht="15" hidden="0" customHeight="1">
      <x:c r="A10" s="88"/>
      <x:c r="B10" s="88"/>
      <x:c r="C10" s="88"/>
      <x:c r="D10" s="88"/>
      <x:c r="E10" s="88"/>
      <x:c r="F10" s="88"/>
      <x:c r="G10" s="88"/>
      <x:c r="H10" s="88"/>
      <x:c r="I10" s="88"/>
      <x:c r="J10" s="88"/>
      <x:c r="K10" s="88"/>
      <x:c r="L10" s="88"/>
      <x:c r="M10" s="88"/>
      <x:c r="N10" s="88"/>
      <x:c r="O10" s="88"/>
      <x:c r="P10" s="88"/>
    </x:row>
    <x:row r="11" ht="15" hidden="0" customHeight="1">
      <x:c r="A11" s="95" t="str">
        <x:v>Date</x:v>
      </x:c>
      <x:c r="B11" s="95" t="str">
        <x:v>Category</x:v>
      </x:c>
      <x:c r="C11" s="95" t="str">
        <x:v>Week</x:v>
      </x:c>
      <x:c r="D11" s="95" t="str">
        <x:v>Symbol</x:v>
      </x:c>
      <x:c r="E11" s="95" t="str">
        <x:v>Side</x:v>
      </x:c>
      <x:c r="F11" s="95" t="str">
        <x:v>Status</x:v>
      </x:c>
      <x:c r="G11" s="95" t="str">
        <x:v>Qty</x:v>
      </x:c>
      <x:c r="H11" s="95" t="str">
        <x:v>Price</x:v>
      </x:c>
      <x:c r="I11" s="95" t="str">
        <x:v>Gross Amount</x:v>
      </x:c>
      <x:c r="J11" s="95" t="str">
        <x:v>Fees</x:v>
      </x:c>
      <x:c r="K11" s="95" t="str">
        <x:v>Cash Flow</x:v>
      </x:c>
      <x:c r="L11" s="95" t="str">
        <x:v>Cost Basis</x:v>
      </x:c>
      <x:c r="M11" s="95" t="str">
        <x:v>Realized P/L</x:v>
      </x:c>
      <x:c r="N11" s="95" t="str">
        <x:v>Order ID</x:v>
      </x:c>
      <x:c r="O11" s="95" t="str">
        <x:v>Notes</x:v>
      </x:c>
      <x:c r="P11" s="95" t="str">
        <x:v>Last Updated Date</x:v>
      </x:c>
    </x:row>
    <x:row r="12" ht="15" hidden="0" customHeight="1">
      <x:c r="A12" s="96" t="n">
        <x:v>46202</x:v>
      </x:c>
      <x:c r="B12" s="97" t="str">
        <x:v>Opening Balance</x:v>
      </x:c>
      <x:c r="C12" s="97" t="str">
        <x:v>Start</x:v>
      </x:c>
      <x:c r="D12" s="97" t="str"/>
      <x:c r="E12" s="97" t="str"/>
      <x:c r="F12" s="97" t="str">
        <x:v>Recorded</x:v>
      </x:c>
      <x:c r="G12" s="98"/>
      <x:c r="H12" s="99"/>
      <x:c r="I12" s="99" t="str">
        <x:f>IF(OR(G12="",H12=""),"",G12*H12)</x:f>
      </x:c>
      <x:c r="J12" s="99"/>
      <x:c r="K12" s="99" t="n">
        <x:f>IF(B12="Opening Balance",$B$4,IF(B12="Funds Added",$B$5,IF(E12="BUY",-(I12+J12),IF(E12="SELL",I12-J12,""))))</x:f>
        <x:v>457.30405435</x:v>
      </x:c>
      <x:c r="L12" s="99" t="str">
        <x:f>IF(E12="BUY",I12+J12,"")</x:f>
      </x:c>
      <x:c r="M12" s="99" t="str">
        <x:f>IF(AND(E12="SELL",F12="Filled",D12="AAPL"),(H12-313.14)*G12,"")</x:f>
      </x:c>
      <x:c r="N12" s="97" t="str"/>
      <x:c r="O12" s="97" t="str">
        <x:v>Opening Agentic account value before first weekly rotation.</x:v>
      </x:c>
      <x:c r="P12" s="100" t="n">
        <x:v>46207</x:v>
      </x:c>
    </x:row>
    <x:row r="13" ht="15" hidden="0" customHeight="1">
      <x:c r="A13" s="96" t="n">
        <x:v>46203</x:v>
      </x:c>
      <x:c r="B13" s="97" t="str">
        <x:v>Original Trade</x:v>
      </x:c>
      <x:c r="C13" s="97" t="str">
        <x:v>20260629</x:v>
      </x:c>
      <x:c r="D13" s="97" t="str">
        <x:v>AAPL</x:v>
      </x:c>
      <x:c r="E13" s="97" t="str">
        <x:v>SELL</x:v>
      </x:c>
      <x:c r="F13" s="97" t="str">
        <x:v>Filled</x:v>
      </x:c>
      <x:c r="G13" s="98" t="n">
        <x:v>0.031935</x:v>
      </x:c>
      <x:c r="H13" s="99" t="n">
        <x:v>281.07</x:v>
      </x:c>
      <x:c r="I13" s="99" t="n">
        <x:f>IF(OR(G13="",H13=""),"",G13*H13)</x:f>
        <x:v>8.975970449999998</x:v>
      </x:c>
      <x:c r="J13" s="99" t="n">
        <x:v>0</x:v>
      </x:c>
      <x:c r="K13" s="99" t="n">
        <x:f>IF(B13="Opening Balance",$B$4,IF(B13="Funds Added",$B$5,IF(E13="BUY",-(I13+J13),IF(E13="SELL",I13-J13,""))))</x:f>
        <x:v>8.975970449999998</x:v>
      </x:c>
      <x:c r="L13" s="99" t="str">
        <x:f>IF(E13="BUY",I13+J13,"")</x:f>
      </x:c>
      <x:c r="M13" s="99" t="n">
        <x:f>IF(AND(E13="SELL",F13="Filled",D13="AAPL"),(H13-313.14)*G13,"")</x:f>
        <x:v>-1.0241554499999996</x:v>
      </x:c>
      <x:c r="N13" s="97" t="str">
        <x:v>6a433dff-3c0b-4a39-bdd1-1b709bfe5de1</x:v>
      </x:c>
      <x:c r="O13" s="97" t="str">
        <x:v>Residual position sold; avg cost basis referenced from prior position at $313.14.</x:v>
      </x:c>
      <x:c r="P13" s="100" t="n">
        <x:v>46207</x:v>
      </x:c>
    </x:row>
    <x:row r="14" ht="15" hidden="0" customHeight="1">
      <x:c r="A14" s="96" t="n">
        <x:v>46203</x:v>
      </x:c>
      <x:c r="B14" s="97" t="str">
        <x:v>Original Trade</x:v>
      </x:c>
      <x:c r="C14" s="97" t="str">
        <x:v>20260629</x:v>
      </x:c>
      <x:c r="D14" s="97" t="str">
        <x:v>MAS</x:v>
      </x:c>
      <x:c r="E14" s="97" t="str">
        <x:v>BUY</x:v>
      </x:c>
      <x:c r="F14" s="97" t="str">
        <x:v>Filled</x:v>
      </x:c>
      <x:c r="G14" s="98" t="n">
        <x:v>1.244632</x:v>
      </x:c>
      <x:c r="H14" s="99" t="n">
        <x:v>80.345</x:v>
      </x:c>
      <x:c r="I14" s="99" t="n">
        <x:f>IF(OR(G14="",H14=""),"",G14*H14)</x:f>
        <x:v>99.99995804</x:v>
      </x:c>
      <x:c r="J14" s="99" t="n">
        <x:v>0</x:v>
      </x:c>
      <x:c r="K14" s="99" t="n">
        <x:f>IF(B14="Opening Balance",$B$4,IF(B14="Funds Added",$B$5,IF(E14="BUY",-(I14+J14),IF(E14="SELL",I14-J14,""))))</x:f>
        <x:v>-99.99995804</x:v>
      </x:c>
      <x:c r="L14" s="99" t="n">
        <x:f>IF(E14="BUY",I14+J14,"")</x:f>
        <x:v>99.99995804</x:v>
      </x:c>
      <x:c r="M14" s="99" t="str">
        <x:f>IF(AND(E14="SELL",F14="Filled",D14="AAPL"),(H14-313.14)*G14,"")</x:f>
      </x:c>
      <x:c r="N14" s="97" t="str">
        <x:v>6a433fd9-4d1e-4521-b7a6-83e8b5936c9f</x:v>
      </x:c>
      <x:c r="O14" s="97" t="str">
        <x:v>Initial EQT basket buy.</x:v>
      </x:c>
      <x:c r="P14" s="100" t="n">
        <x:v>46207</x:v>
      </x:c>
    </x:row>
    <x:row r="15" ht="15" hidden="0" customHeight="1">
      <x:c r="A15" s="96" t="n">
        <x:v>46203</x:v>
      </x:c>
      <x:c r="B15" s="97" t="str">
        <x:v>Original Trade</x:v>
      </x:c>
      <x:c r="C15" s="97" t="str">
        <x:v>20260629</x:v>
      </x:c>
      <x:c r="D15" s="97" t="str">
        <x:v>SYF</x:v>
      </x:c>
      <x:c r="E15" s="97" t="str">
        <x:v>BUY</x:v>
      </x:c>
      <x:c r="F15" s="97" t="str">
        <x:v>Filled</x:v>
      </x:c>
      <x:c r="G15" s="98" t="n">
        <x:v>1.270488</x:v>
      </x:c>
      <x:c r="H15" s="99" t="n">
        <x:v>78.7099</x:v>
      </x:c>
      <x:c r="I15" s="99" t="n">
        <x:f>IF(OR(G15="",H15=""),"",G15*H15)</x:f>
        <x:v>99.99998343120001</x:v>
      </x:c>
      <x:c r="J15" s="99" t="n">
        <x:v>0</x:v>
      </x:c>
      <x:c r="K15" s="99" t="n">
        <x:f>IF(B15="Opening Balance",$B$4,IF(B15="Funds Added",$B$5,IF(E15="BUY",-(I15+J15),IF(E15="SELL",I15-J15,""))))</x:f>
        <x:v>-99.99998343120001</x:v>
      </x:c>
      <x:c r="L15" s="99" t="n">
        <x:f>IF(E15="BUY",I15+J15,"")</x:f>
        <x:v>99.99998343120001</x:v>
      </x:c>
      <x:c r="M15" s="99" t="str">
        <x:f>IF(AND(E15="SELL",F15="Filled",D15="AAPL"),(H15-313.14)*G15,"")</x:f>
      </x:c>
      <x:c r="N15" s="97" t="str">
        <x:v>6a433fdb-174f-411d-ab96-df0a501c3813</x:v>
      </x:c>
      <x:c r="O15" s="97" t="str">
        <x:v>Initial EQT basket buy.</x:v>
      </x:c>
      <x:c r="P15" s="100" t="n">
        <x:v>46207</x:v>
      </x:c>
    </x:row>
    <x:row r="16" ht="15" hidden="0" customHeight="1">
      <x:c r="A16" s="96" t="n">
        <x:v>46203</x:v>
      </x:c>
      <x:c r="B16" s="97" t="str">
        <x:v>Original Trade</x:v>
      </x:c>
      <x:c r="C16" s="97" t="str">
        <x:v>20260629</x:v>
      </x:c>
      <x:c r="D16" s="97" t="str">
        <x:v>GEV</x:v>
      </x:c>
      <x:c r="E16" s="97" t="str">
        <x:v>BUY</x:v>
      </x:c>
      <x:c r="F16" s="97" t="str">
        <x:v>Filled</x:v>
      </x:c>
      <x:c r="G16" s="98" t="n">
        <x:v>0.089889</x:v>
      </x:c>
      <x:c r="H16" s="99" t="n">
        <x:v>1112.48</x:v>
      </x:c>
      <x:c r="I16" s="99" t="n">
        <x:f>IF(OR(G16="",H16=""),"",G16*H16)</x:f>
        <x:v>99.99971472</x:v>
      </x:c>
      <x:c r="J16" s="99" t="n">
        <x:v>0</x:v>
      </x:c>
      <x:c r="K16" s="99" t="n">
        <x:f>IF(B16="Opening Balance",$B$4,IF(B16="Funds Added",$B$5,IF(E16="BUY",-(I16+J16),IF(E16="SELL",I16-J16,""))))</x:f>
        <x:v>-99.99971472</x:v>
      </x:c>
      <x:c r="L16" s="99" t="n">
        <x:f>IF(E16="BUY",I16+J16,"")</x:f>
        <x:v>99.99971472</x:v>
      </x:c>
      <x:c r="M16" s="99" t="str">
        <x:f>IF(AND(E16="SELL",F16="Filled",D16="AAPL"),(H16-313.14)*G16,"")</x:f>
      </x:c>
      <x:c r="N16" s="97" t="str">
        <x:v>6a433fdd-6da9-4261-a1b1-285f21f550f3</x:v>
      </x:c>
      <x:c r="O16" s="97" t="str">
        <x:v>Initial EQT basket buy.</x:v>
      </x:c>
      <x:c r="P16" s="100" t="n">
        <x:v>46207</x:v>
      </x:c>
    </x:row>
    <x:row r="17" ht="15" hidden="0" customHeight="1">
      <x:c r="A17" s="96" t="n">
        <x:v>46203</x:v>
      </x:c>
      <x:c r="B17" s="97" t="str">
        <x:v>Original Trade</x:v>
      </x:c>
      <x:c r="C17" s="97" t="str">
        <x:v>20260629</x:v>
      </x:c>
      <x:c r="D17" s="97" t="str">
        <x:v>AEP</x:v>
      </x:c>
      <x:c r="E17" s="97" t="str">
        <x:v>BUY</x:v>
      </x:c>
      <x:c r="F17" s="97" t="str">
        <x:v>Filled</x:v>
      </x:c>
      <x:c r="G17" s="98" t="n">
        <x:v>0.725531</x:v>
      </x:c>
      <x:c r="H17" s="99" t="n">
        <x:v>137.83</x:v>
      </x:c>
      <x:c r="I17" s="99" t="n">
        <x:f>IF(OR(G17="",H17=""),"",G17*H17)</x:f>
        <x:v>99.99993773000001</x:v>
      </x:c>
      <x:c r="J17" s="99" t="n">
        <x:v>0</x:v>
      </x:c>
      <x:c r="K17" s="99" t="n">
        <x:f>IF(B17="Opening Balance",$B$4,IF(B17="Funds Added",$B$5,IF(E17="BUY",-(I17+J17),IF(E17="SELL",I17-J17,""))))</x:f>
        <x:v>-99.99993773000001</x:v>
      </x:c>
      <x:c r="L17" s="99" t="n">
        <x:f>IF(E17="BUY",I17+J17,"")</x:f>
        <x:v>99.99993773000001</x:v>
      </x:c>
      <x:c r="M17" s="99" t="str">
        <x:f>IF(AND(E17="SELL",F17="Filled",D17="AAPL"),(H17-313.14)*G17,"")</x:f>
      </x:c>
      <x:c r="N17" s="97" t="str">
        <x:v>6a433fde-ddc0-41e0-abb7-a4e097ca3bac</x:v>
      </x:c>
      <x:c r="O17" s="97" t="str">
        <x:v>Initial EQT basket buy.</x:v>
      </x:c>
      <x:c r="P17" s="100" t="n">
        <x:v>46207</x:v>
      </x:c>
    </x:row>
    <x:row r="18" ht="15" hidden="0" customHeight="1">
      <x:c r="A18" s="96" t="n">
        <x:v>46207</x:v>
      </x:c>
      <x:c r="B18" s="97" t="str">
        <x:v>Funds Added</x:v>
      </x:c>
      <x:c r="C18" s="97" t="str">
        <x:v>20260703</x:v>
      </x:c>
      <x:c r="D18" s="97" t="str"/>
      <x:c r="E18" s="97" t="str"/>
      <x:c r="F18" s="97" t="str">
        <x:v>Recorded</x:v>
      </x:c>
      <x:c r="G18" s="98"/>
      <x:c r="H18" s="99"/>
      <x:c r="I18" s="99" t="str">
        <x:f>IF(OR(G18="",H18=""),"",G18*H18)</x:f>
      </x:c>
      <x:c r="J18" s="99"/>
      <x:c r="K18" s="99" t="n">
        <x:f>IF(B18="Opening Balance",$B$4,IF(B18="Funds Added",$B$5,IF(E18="BUY",-(I18+J18),IF(E18="SELL",I18-J18,""))))</x:f>
        <x:v>750</x:v>
      </x:c>
      <x:c r="L18" s="99" t="str">
        <x:f>IF(E18="BUY",I18+J18,"")</x:f>
      </x:c>
      <x:c r="M18" s="99" t="str">
        <x:f>IF(AND(E18="SELL",F18="Filled",D18="AAPL"),(H18-313.14)*G18,"")</x:f>
      </x:c>
      <x:c r="N18" s="97" t="str"/>
      <x:c r="O18" s="97" t="str">
        <x:v>Funds added by user; inferred from account value/cash increase.</x:v>
      </x:c>
      <x:c r="P18" s="100" t="n">
        <x:v>46207</x:v>
      </x:c>
    </x:row>
    <x:row r="19" ht="15" hidden="0" customHeight="1">
      <x:c r="A19" s="96" t="n">
        <x:v>46207</x:v>
      </x:c>
      <x:c r="B19" s="97" t="str">
        <x:v>New Trade</x:v>
      </x:c>
      <x:c r="C19" s="97" t="str">
        <x:v>20260703</x:v>
      </x:c>
      <x:c r="D19" s="97" t="str">
        <x:v>SYF</x:v>
      </x:c>
      <x:c r="E19" s="97" t="str">
        <x:v>SELL</x:v>
      </x:c>
      <x:c r="F19" s="97" t="str">
        <x:v>Queued</x:v>
      </x:c>
      <x:c r="G19" s="98" t="n">
        <x:v>1.270488</x:v>
      </x:c>
      <x:c r="H19" s="99"/>
      <x:c r="I19" s="99" t="str">
        <x:f>IF(OR(G19="",H19=""),"",G19*H19)</x:f>
      </x:c>
      <x:c r="J19" s="99" t="n">
        <x:v>0</x:v>
      </x:c>
      <x:c r="K19" s="99" t="n">
        <x:f>IF(B19="Opening Balance",$B$4,IF(B19="Funds Added",$B$5,IF(E19="BUY",-(I19+J19),IF(E19="SELL",I19-J19,""))))</x:f>
        <x:v>0</x:v>
      </x:c>
      <x:c r="L19" s="99" t="str">
        <x:f>IF(E19="BUY",I19+J19,"")</x:f>
      </x:c>
      <x:c r="M19" s="99" t="str">
        <x:f>IF(AND(E19="SELL",F19="Filled",D19="AAPL"),(H19-313.14)*G19,"")</x:f>
      </x:c>
      <x:c r="N19" s="97" t="str">
        <x:v>6a486ba6-267a-4c3e-af14-e7dd24528fdd</x:v>
      </x:c>
      <x:c r="O19" s="97" t="str">
        <x:v>Sell submitted for weekly rotation; fill pending.</x:v>
      </x:c>
      <x:c r="P19" s="100" t="n">
        <x:v>46207</x:v>
      </x:c>
    </x:row>
    <x:row r="20" ht="15" hidden="0" customHeight="1">
      <x:c r="A20" s="96" t="n">
        <x:v>46207</x:v>
      </x:c>
      <x:c r="B20" s="97" t="str">
        <x:v>New Trade</x:v>
      </x:c>
      <x:c r="C20" s="97" t="str">
        <x:v>20260703</x:v>
      </x:c>
      <x:c r="D20" s="97" t="str">
        <x:v>GEV</x:v>
      </x:c>
      <x:c r="E20" s="97" t="str">
        <x:v>SELL</x:v>
      </x:c>
      <x:c r="F20" s="97" t="str">
        <x:v>Queued</x:v>
      </x:c>
      <x:c r="G20" s="98" t="n">
        <x:v>0.089889</x:v>
      </x:c>
      <x:c r="H20" s="99"/>
      <x:c r="I20" s="99" t="str">
        <x:f>IF(OR(G20="",H20=""),"",G20*H20)</x:f>
      </x:c>
      <x:c r="J20" s="99" t="n">
        <x:v>0</x:v>
      </x:c>
      <x:c r="K20" s="99" t="n">
        <x:f>IF(B20="Opening Balance",$B$4,IF(B20="Funds Added",$B$5,IF(E20="BUY",-(I20+J20),IF(E20="SELL",I20-J20,""))))</x:f>
        <x:v>0</x:v>
      </x:c>
      <x:c r="L20" s="99" t="str">
        <x:f>IF(E20="BUY",I20+J20,"")</x:f>
      </x:c>
      <x:c r="M20" s="99" t="str">
        <x:f>IF(AND(E20="SELL",F20="Filled",D20="AAPL"),(H20-313.14)*G20,"")</x:f>
      </x:c>
      <x:c r="N20" s="97" t="str">
        <x:v>6a486ba7-8e33-44f7-ab9b-94f0d58b1779</x:v>
      </x:c>
      <x:c r="O20" s="97" t="str">
        <x:v>Sell submitted for weekly rotation; fill pending.</x:v>
      </x:c>
      <x:c r="P20" s="100" t="n">
        <x:v>46207</x:v>
      </x:c>
    </x:row>
    <x:row r="21" ht="15" hidden="0" customHeight="1">
      <x:c r="A21" s="96" t="n">
        <x:v>46207</x:v>
      </x:c>
      <x:c r="B21" s="97" t="str">
        <x:v>New Trade</x:v>
      </x:c>
      <x:c r="C21" s="97" t="str">
        <x:v>20260703</x:v>
      </x:c>
      <x:c r="D21" s="97" t="str">
        <x:v>HWM</x:v>
      </x:c>
      <x:c r="E21" s="97" t="str">
        <x:v>BUY</x:v>
      </x:c>
      <x:c r="F21" s="97" t="str">
        <x:v>Queued</x:v>
      </x:c>
      <x:c r="G21" s="98" t="n">
        <x:v>0.38807</x:v>
      </x:c>
      <x:c r="H21" s="99" t="n">
        <x:v>270.41</x:v>
      </x:c>
      <x:c r="I21" s="99" t="n">
        <x:f>IF(OR(G21="",H21=""),"",G21*H21)</x:f>
        <x:v>104.93800870000001</x:v>
      </x:c>
      <x:c r="J21" s="99" t="n">
        <x:v>0</x:v>
      </x:c>
      <x:c r="K21" s="99" t="n">
        <x:f>IF(B21="Opening Balance",$B$4,IF(B21="Funds Added",$B$5,IF(E21="BUY",-(I21+J21),IF(E21="SELL",I21-J21,""))))</x:f>
        <x:v>-104.93800870000001</x:v>
      </x:c>
      <x:c r="L21" s="99" t="n">
        <x:f>IF(E21="BUY",I21+J21,"")</x:f>
        <x:v>104.93800870000001</x:v>
      </x:c>
      <x:c r="M21" s="99" t="str">
        <x:f>IF(AND(E21="SELL",F21="Filled",D21="AAPL"),(H21-313.14)*G21,"")</x:f>
      </x:c>
      <x:c r="N21" s="97" t="str">
        <x:v>6a489c41-c67f-47cb-b6fd-c4edfdc53af0</x:v>
      </x:c>
      <x:c r="O21" s="97" t="str">
        <x:v>Buy submitted for weekly rotation; fill pending.</x:v>
      </x:c>
      <x:c r="P21" s="100" t="n">
        <x:v>46207</x:v>
      </x:c>
    </x:row>
    <x:row r="22" ht="15" hidden="0" customHeight="1">
      <x:c r="A22" s="101" t="n">
        <x:v>46207</x:v>
      </x:c>
      <x:c r="B22" s="102" t="str">
        <x:v>New Trade</x:v>
      </x:c>
      <x:c r="C22" s="102" t="str">
        <x:v>20260703</x:v>
      </x:c>
      <x:c r="D22" s="102" t="str">
        <x:v>CASY</x:v>
      </x:c>
      <x:c r="E22" s="102" t="str">
        <x:v>BUY</x:v>
      </x:c>
      <x:c r="F22" s="102" t="str">
        <x:v>Queued</x:v>
      </x:c>
      <x:c r="G22" s="103" t="n">
        <x:v>0.13159</x:v>
      </x:c>
      <x:c r="H22" s="104" t="n">
        <x:v>797.42</x:v>
      </x:c>
      <x:c r="I22" s="104" t="n">
        <x:f>IF(OR(G22="",H22=""),"",G22*H22)</x:f>
        <x:v>104.93249780000001</x:v>
      </x:c>
      <x:c r="J22" s="104" t="n">
        <x:v>0</x:v>
      </x:c>
      <x:c r="K22" s="104" t="n">
        <x:f>IF(B22="Opening Balance",$B$4,IF(B22="Funds Added",$B$5,IF(E22="BUY",-(I22+J22),IF(E22="SELL",I22-J22,""))))</x:f>
        <x:v>-104.93249780000001</x:v>
      </x:c>
      <x:c r="L22" s="104" t="n">
        <x:f>IF(E22="BUY",I22+J22,"")</x:f>
        <x:v>104.93249780000001</x:v>
      </x:c>
      <x:c r="M22" s="104" t="str">
        <x:f>IF(AND(E22="SELL",F22="Filled",D22="AAPL"),(H22-313.14)*G22,"")</x:f>
      </x:c>
      <x:c r="N22" s="102" t="str">
        <x:v>6a489c43-d9e5-4f39-bc73-e0282dcdf6cb</x:v>
      </x:c>
      <x:c r="O22" s="102" t="str">
        <x:v>Buy submitted for weekly rotation; fill pending.</x:v>
      </x:c>
      <x:c r="P22" s="105" t="n">
        <x:v>46207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837b1bd59e6f4a7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2" hidden="0" customWidth="1"/>
    <x:col min="4" max="4" width="11" hidden="0" customWidth="1"/>
    <x:col min="5" max="5" width="11" hidden="0" customWidth="1"/>
    <x:col min="6" max="6" width="12" hidden="0" customWidth="1"/>
    <x:col min="7" max="7" width="12" hidden="0" customWidth="1"/>
    <x:col min="8" max="8" width="13" hidden="0" customWidth="1"/>
    <x:col min="9" max="9" width="13" hidden="0" customWidth="1"/>
    <x:col min="10" max="10" width="14" hidden="0" customWidth="1"/>
    <x:col min="11" max="11" width="15" hidden="0" customWidth="1"/>
    <x:col min="12" max="12" width="14" hidden="0" customWidth="1"/>
    <x:col min="13" max="13" width="15" hidden="0" customWidth="1"/>
    <x:col min="14" max="14" width="56" hidden="0" customWidth="1"/>
    <x:col min="15" max="15" width="18" hidden="0" customWidth="1"/>
  </x:cols>
  <x:sheetData>
    <x:row r="1" ht="15" hidden="0" customHeight="1">
      <x:c r="A1" s="86" t="str">
        <x:v>Agentic Trading P/L Tracking Since Start</x:v>
      </x:c>
      <x:c r="B1" s="86" t="str">
        <x:v>Agentic Trading P/L Tracking Since Start</x:v>
      </x:c>
      <x:c r="C1" s="86" t="str">
        <x:v>Agentic Trading P/L Tracking Since Start</x:v>
      </x:c>
      <x:c r="D1" s="86" t="str">
        <x:v>Agentic Trading P/L Tracking Since Start</x:v>
      </x:c>
      <x:c r="E1" s="86" t="str">
        <x:v>Agentic Trading P/L Tracking Since Start</x:v>
      </x:c>
      <x:c r="F1" s="86" t="str">
        <x:v>Agentic Trading P/L Tracking Since Start</x:v>
      </x:c>
      <x:c r="G1" s="86" t="str">
        <x:v>Agentic Trading P/L Tracking Since Start</x:v>
      </x:c>
      <x:c r="H1" s="86" t="str">
        <x:v>Agentic Trading P/L Tracking Since Start</x:v>
      </x:c>
      <x:c r="I1" s="86" t="str">
        <x:v>Agentic Trading P/L Tracking Since Start</x:v>
      </x:c>
      <x:c r="J1" s="86" t="str">
        <x:v>Agentic Trading P/L Tracking Since Start</x:v>
      </x:c>
      <x:c r="K1" s="86" t="str">
        <x:v>Agentic Trading P/L Tracking Since Start</x:v>
      </x:c>
      <x:c r="L1" s="86" t="str">
        <x:v>Agentic Trading P/L Tracking Since Start</x:v>
      </x:c>
      <x:c r="M1" s="86" t="str">
        <x:v>Agentic Trading P/L Tracking Since Start</x:v>
      </x:c>
      <x:c r="N1" s="86" t="str">
        <x:v>Agentic Trading P/L Tracking Since Start</x:v>
      </x:c>
      <x:c r="O1" s="86" t="str">
        <x:v>Agentic Trading P/L Tracking Since Start</x:v>
      </x:c>
    </x:row>
    <x:row r="2" ht="15" hidden="0" customHeight="1">
      <x:c r="A2" s="88"/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</x:row>
    <x:row r="3" ht="15" hidden="0" customHeight="1">
      <x:c r="A3" s="89" t="str">
        <x:v>Opening Balance</x:v>
      </x:c>
      <x:c r="B3" s="90" t="n">
        <x:v>457.30405435</x:v>
      </x:c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</x:row>
    <x:row r="4" ht="15" hidden="0" customHeight="1">
      <x:c r="A4" s="91" t="str">
        <x:v>Funds Added</x:v>
      </x:c>
      <x:c r="B4" s="92" t="n">
        <x:v>750</x:v>
      </x:c>
      <x:c r="C4" s="88"/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  <x:c r="O4" s="88"/>
    </x:row>
    <x:row r="5" ht="15" hidden="0" customHeight="1">
      <x:c r="A5" s="91" t="str">
        <x:v>Current Account Value</x:v>
      </x:c>
      <x:c r="B5" s="92" t="n">
        <x:v>1208.01360868</x:v>
      </x:c>
      <x:c r="C5" s="88"/>
      <x:c r="D5" s="88"/>
      <x:c r="E5" s="88"/>
      <x:c r="F5" s="88"/>
      <x:c r="G5" s="88"/>
      <x:c r="H5" s="88"/>
      <x:c r="I5" s="88"/>
      <x:c r="J5" s="88"/>
      <x:c r="K5" s="88"/>
      <x:c r="L5" s="88"/>
      <x:c r="M5" s="88"/>
      <x:c r="N5" s="88"/>
      <x:c r="O5" s="88"/>
    </x:row>
    <x:row r="6" ht="15" hidden="0" customHeight="1">
      <x:c r="A6" s="91" t="str">
        <x:v>Net P/L Since Start</x:v>
      </x:c>
      <x:c r="B6" s="92" t="n">
        <x:f>B5-B3-B4</x:f>
        <x:v>0.70955433000006</x:v>
      </x:c>
      <x:c r="C6" s="88"/>
      <x:c r="D6" s="88"/>
      <x:c r="E6" s="88"/>
      <x:c r="F6" s="88"/>
      <x:c r="G6" s="88"/>
      <x:c r="H6" s="88"/>
      <x:c r="I6" s="88"/>
      <x:c r="J6" s="88"/>
      <x:c r="K6" s="88"/>
      <x:c r="L6" s="88"/>
      <x:c r="M6" s="88"/>
      <x:c r="N6" s="88"/>
      <x:c r="O6" s="88"/>
    </x:row>
    <x:row r="7" ht="15" hidden="0" customHeight="1">
      <x:c r="A7" s="91" t="str">
        <x:v>Net P/L % on Opening Balance</x:v>
      </x:c>
      <x:c r="B7" s="106" t="n">
        <x:f>B6/B3</x:f>
        <x:v>0.0015516029723563285</x:v>
      </x:c>
      <x:c r="C7" s="88"/>
      <x:c r="D7" s="88"/>
      <x:c r="E7" s="88"/>
      <x:c r="F7" s="88"/>
      <x:c r="G7" s="88"/>
      <x:c r="H7" s="88"/>
      <x:c r="I7" s="88"/>
      <x:c r="J7" s="88"/>
      <x:c r="K7" s="88"/>
      <x:c r="L7" s="88"/>
      <x:c r="M7" s="88"/>
      <x:c r="N7" s="88"/>
      <x:c r="O7" s="88"/>
    </x:row>
    <x:row r="8" ht="15" hidden="0" customHeight="1">
      <x:c r="A8" s="91" t="str">
        <x:v>Cash</x:v>
      </x:c>
      <x:c r="B8" s="92" t="n">
        <x:v>807.31</x:v>
      </x:c>
      <x:c r="C8" s="88"/>
      <x:c r="D8" s="88"/>
      <x:c r="E8" s="88"/>
      <x:c r="F8" s="88"/>
      <x:c r="G8" s="88"/>
      <x:c r="H8" s="88"/>
      <x:c r="I8" s="88"/>
      <x:c r="J8" s="88"/>
      <x:c r="K8" s="88"/>
      <x:c r="L8" s="88"/>
      <x:c r="M8" s="88"/>
      <x:c r="N8" s="88"/>
      <x:c r="O8" s="88"/>
    </x:row>
    <x:row r="9" ht="15" hidden="0" customHeight="1">
      <x:c r="A9" s="91" t="str">
        <x:v>25% Cash Buffer Target</x:v>
      </x:c>
      <x:c r="B9" s="92" t="n">
        <x:f>B5*25%</x:f>
        <x:v>302.00340217</x:v>
      </x:c>
      <x:c r="C9" s="88"/>
      <x:c r="D9" s="88"/>
      <x:c r="E9" s="88"/>
      <x:c r="F9" s="88"/>
      <x:c r="G9" s="88"/>
      <x:c r="H9" s="88"/>
      <x:c r="I9" s="88"/>
      <x:c r="J9" s="88"/>
      <x:c r="K9" s="88"/>
      <x:c r="L9" s="88"/>
      <x:c r="M9" s="88"/>
      <x:c r="N9" s="88"/>
      <x:c r="O9" s="88"/>
    </x:row>
    <x:row r="10" ht="15" hidden="0" customHeight="1">
      <x:c r="A10" s="93" t="str">
        <x:v>Cash Buffer Status</x:v>
      </x:c>
      <x:c r="B10" s="107" t="str">
        <x:f>IF(B8&gt;=B9,"OK","Below target")</x:f>
        <x:v>OK</x:v>
      </x:c>
      <x:c r="C10" s="88"/>
      <x:c r="D10" s="88"/>
      <x:c r="E10" s="88"/>
      <x:c r="F10" s="88"/>
      <x:c r="G10" s="88"/>
      <x:c r="H10" s="88"/>
      <x:c r="I10" s="88"/>
      <x:c r="J10" s="88"/>
      <x:c r="K10" s="88"/>
      <x:c r="L10" s="88"/>
      <x:c r="M10" s="88"/>
      <x:c r="N10" s="88"/>
      <x:c r="O10" s="88"/>
    </x:row>
    <x:row r="11" ht="15" hidden="0" customHeight="1">
      <x:c r="A11" s="88"/>
      <x:c r="B11" s="88"/>
      <x:c r="C11" s="88"/>
      <x:c r="D11" s="88"/>
      <x:c r="E11" s="88"/>
      <x:c r="F11" s="88"/>
      <x:c r="G11" s="88"/>
      <x:c r="H11" s="88"/>
      <x:c r="I11" s="88"/>
      <x:c r="J11" s="88"/>
      <x:c r="K11" s="88"/>
      <x:c r="L11" s="88"/>
      <x:c r="M11" s="88"/>
      <x:c r="N11" s="88"/>
      <x:c r="O11" s="88"/>
    </x:row>
    <x:row r="12" ht="24" hidden="0" customHeight="1">
      <x:c r="A12" s="95" t="str">
        <x:v>Symbol</x:v>
      </x:c>
      <x:c r="B12" s="95" t="str">
        <x:v>Position Status</x:v>
      </x:c>
      <x:c r="C12" s="95" t="str">
        <x:v>Current Qty</x:v>
      </x:c>
      <x:c r="D12" s="95" t="str">
        <x:v>Avg Cost</x:v>
      </x:c>
      <x:c r="E12" s="95" t="str">
        <x:v>Mark Price</x:v>
      </x:c>
      <x:c r="F12" s="95" t="str">
        <x:v>Cost Basis</x:v>
      </x:c>
      <x:c r="G12" s="95" t="str">
        <x:v>Market Value</x:v>
      </x:c>
      <x:c r="H12" s="95" t="str">
        <x:v>Unrealized P/L</x:v>
      </x:c>
      <x:c r="I12" s="95" t="str">
        <x:v>Unrealized P/L %</x:v>
      </x:c>
      <x:c r="J12" s="95" t="str">
        <x:v>Open Order Side</x:v>
      </x:c>
      <x:c r="K12" s="95" t="str">
        <x:v>Open Order Qty/$</x:v>
      </x:c>
      <x:c r="L12" s="95" t="str">
        <x:v>Open Order Status</x:v>
      </x:c>
      <x:c r="M12" s="95" t="str">
        <x:v>Realized P/L Since Start</x:v>
      </x:c>
      <x:c r="N12" s="95" t="str">
        <x:v>Notes</x:v>
      </x:c>
      <x:c r="O12" s="95" t="str">
        <x:v>Last Updated Date</x:v>
      </x:c>
    </x:row>
    <x:row r="13" ht="15" hidden="0" customHeight="1">
      <x:c r="A13" s="108" t="str">
        <x:v>MAS</x:v>
      </x:c>
      <x:c r="B13" s="97" t="str">
        <x:v>Open</x:v>
      </x:c>
      <x:c r="C13" s="109" t="n">
        <x:v>1.244632</x:v>
      </x:c>
      <x:c r="D13" s="99" t="n">
        <x:v>80.35</x:v>
      </x:c>
      <x:c r="E13" s="99" t="n">
        <x:v>82.77</x:v>
      </x:c>
      <x:c r="F13" s="99" t="n">
        <x:f>IF(OR(C13="",D13=""),"",C13*D13)</x:f>
        <x:v>100.00618119999999</x:v>
      </x:c>
      <x:c r="G13" s="99" t="n">
        <x:f>IF(OR(C13="",E13=""),"",C13*E13)</x:f>
        <x:v>103.01819063999999</x:v>
      </x:c>
      <x:c r="H13" s="99" t="n">
        <x:f>IF(OR(F13="",G13=""),"",G13-F13)</x:f>
        <x:v>3.01200944</x:v>
      </x:c>
      <x:c r="I13" s="110" t="n">
        <x:f>IF(F13&gt;0,H13/F13,"")</x:f>
        <x:v>0.030118232731798384</x:v>
      </x:c>
      <x:c r="J13" s="97" t="str"/>
      <x:c r="K13" s="97" t="str"/>
      <x:c r="L13" s="97" t="str"/>
      <x:c r="M13" s="99" t="n">
        <x:f>IF(A13="AAPL",(281.07-313.14)*0.031935,0)</x:f>
        <x:v>0</x:v>
      </x:c>
      <x:c r="N13" s="97" t="str">
        <x:v>Held from initial EQT basket; still in 20260703 target basket.</x:v>
      </x:c>
      <x:c r="O13" s="100" t="n">
        <x:v>46207</x:v>
      </x:c>
    </x:row>
    <x:row r="14" ht="15" hidden="0" customHeight="1">
      <x:c r="A14" s="108" t="str">
        <x:v>SYF</x:v>
      </x:c>
      <x:c r="B14" s="97" t="str">
        <x:v>Sell Queued</x:v>
      </x:c>
      <x:c r="C14" s="109" t="n">
        <x:v>1.270488</x:v>
      </x:c>
      <x:c r="D14" s="99" t="n">
        <x:v>78.71</x:v>
      </x:c>
      <x:c r="E14" s="99" t="n">
        <x:v>76.33</x:v>
      </x:c>
      <x:c r="F14" s="99" t="n">
        <x:f>IF(OR(C14="",D14=""),"",C14*D14)</x:f>
        <x:v>100.00011048</x:v>
      </x:c>
      <x:c r="G14" s="99" t="n">
        <x:f>IF(OR(C14="",E14=""),"",C14*E14)</x:f>
        <x:v>96.97634904</x:v>
      </x:c>
      <x:c r="H14" s="99" t="n">
        <x:f>IF(OR(F14="",G14=""),"",G14-F14)</x:f>
        <x:v>-3.0237614400000012</x:v>
      </x:c>
      <x:c r="I14" s="110" t="n">
        <x:f>IF(F14&gt;0,H14/F14,"")</x:f>
        <x:v>-0.03023758099352053</x:v>
      </x:c>
      <x:c r="J14" s="97" t="str">
        <x:v>SELL</x:v>
      </x:c>
      <x:c r="K14" s="97" t="str">
        <x:v>1.270488</x:v>
      </x:c>
      <x:c r="L14" s="97" t="str">
        <x:v>Queued</x:v>
      </x:c>
      <x:c r="M14" s="99" t="n">
        <x:f>IF(A14="AAPL",(281.07-313.14)*0.031935,0)</x:f>
        <x:v>0</x:v>
      </x:c>
      <x:c r="N14" s="97" t="str">
        <x:v>Sell submitted for rotation; realized P/L updates after fill.</x:v>
      </x:c>
      <x:c r="O14" s="100" t="n">
        <x:v>46207</x:v>
      </x:c>
    </x:row>
    <x:row r="15" ht="15" hidden="0" customHeight="1">
      <x:c r="A15" s="108" t="str">
        <x:v>GEV</x:v>
      </x:c>
      <x:c r="B15" s="97" t="str">
        <x:v>Sell Queued</x:v>
      </x:c>
      <x:c r="C15" s="109" t="n">
        <x:v>0.089889</x:v>
      </x:c>
      <x:c r="D15" s="99" t="n">
        <x:v>1112.48</x:v>
      </x:c>
      <x:c r="E15" s="99" t="n">
        <x:v>1119</x:v>
      </x:c>
      <x:c r="F15" s="99" t="n">
        <x:f>IF(OR(C15="",D15=""),"",C15*D15)</x:f>
        <x:v>99.99971472</x:v>
      </x:c>
      <x:c r="G15" s="99" t="n">
        <x:f>IF(OR(C15="",E15=""),"",C15*E15)</x:f>
        <x:v>100.585791</x:v>
      </x:c>
      <x:c r="H15" s="99" t="n">
        <x:f>IF(OR(F15="",G15=""),"",G15-F15)</x:f>
        <x:v>0.5860762800000003</x:v>
      </x:c>
      <x:c r="I15" s="110" t="n">
        <x:f>IF(F15&gt;0,H15/F15,"")</x:f>
        <x:v>0.005860779519631817</x:v>
      </x:c>
      <x:c r="J15" s="97" t="str">
        <x:v>SELL</x:v>
      </x:c>
      <x:c r="K15" s="97" t="str">
        <x:v>0.089889</x:v>
      </x:c>
      <x:c r="L15" s="97" t="str">
        <x:v>Queued</x:v>
      </x:c>
      <x:c r="M15" s="99" t="n">
        <x:f>IF(A15="AAPL",(281.07-313.14)*0.031935,0)</x:f>
        <x:v>0</x:v>
      </x:c>
      <x:c r="N15" s="97" t="str">
        <x:v>Sell submitted for rotation; realized P/L updates after fill.</x:v>
      </x:c>
      <x:c r="O15" s="100" t="n">
        <x:v>46207</x:v>
      </x:c>
    </x:row>
    <x:row r="16" ht="15" hidden="0" customHeight="1">
      <x:c r="A16" s="108" t="str">
        <x:v>AEP</x:v>
      </x:c>
      <x:c r="B16" s="97" t="str">
        <x:v>Open</x:v>
      </x:c>
      <x:c r="C16" s="109" t="n">
        <x:v>0.725531</x:v>
      </x:c>
      <x:c r="D16" s="99" t="n">
        <x:v>137.83</x:v>
      </x:c>
      <x:c r="E16" s="99" t="n">
        <x:v>138</x:v>
      </x:c>
      <x:c r="F16" s="99" t="n">
        <x:f>IF(OR(C16="",D16=""),"",C16*D16)</x:f>
        <x:v>99.99993773000001</x:v>
      </x:c>
      <x:c r="G16" s="99" t="n">
        <x:f>IF(OR(C16="",E16=""),"",C16*E16)</x:f>
        <x:v>100.123278</x:v>
      </x:c>
      <x:c r="H16" s="99" t="n">
        <x:f>IF(OR(F16="",G16=""),"",G16-F16)</x:f>
        <x:v>0.12334026999998571</x:v>
      </x:c>
      <x:c r="I16" s="110" t="n">
        <x:f>IF(F16&gt;0,H16/F16,"")</x:f>
        <x:v>0.0012334034680401965</x:v>
      </x:c>
      <x:c r="J16" s="97" t="str"/>
      <x:c r="K16" s="97" t="str"/>
      <x:c r="L16" s="97" t="str"/>
      <x:c r="M16" s="99" t="n">
        <x:f>IF(A16="AAPL",(281.07-313.14)*0.031935,0)</x:f>
        <x:v>0</x:v>
      </x:c>
      <x:c r="N16" s="97" t="str">
        <x:v>Held from initial EQT basket; still in 20260703 target basket.</x:v>
      </x:c>
      <x:c r="O16" s="100" t="n">
        <x:v>46207</x:v>
      </x:c>
    </x:row>
    <x:row r="17" ht="15" hidden="0" customHeight="1">
      <x:c r="A17" s="108" t="str">
        <x:v>HWM</x:v>
      </x:c>
      <x:c r="B17" s="97" t="str">
        <x:v>Buy Queued</x:v>
      </x:c>
      <x:c r="C17" s="109" t="n">
        <x:v>0</x:v>
      </x:c>
      <x:c r="D17" s="99"/>
      <x:c r="E17" s="99" t="n">
        <x:v>270.41</x:v>
      </x:c>
      <x:c r="F17" s="99" t="str">
        <x:f>IF(OR(C17="",D17=""),"",C17*D17)</x:f>
      </x:c>
      <x:c r="G17" s="99" t="str">
        <x:f>IF(OR(C17="",E17=""),"",C17*E17)</x:f>
      </x:c>
      <x:c r="H17" s="99" t="str">
        <x:f>IF(OR(F17="",G17=""),"",G17-F17)</x:f>
      </x:c>
      <x:c r="I17" s="110" t="str">
        <x:f>IF(F17&gt;0,H17/F17,"")</x:f>
      </x:c>
      <x:c r="J17" s="97" t="str">
        <x:v>BUY</x:v>
      </x:c>
      <x:c r="K17" s="97" t="str">
        <x:v>$104.94</x:v>
      </x:c>
      <x:c r="L17" s="97" t="str">
        <x:v>Queued</x:v>
      </x:c>
      <x:c r="M17" s="99" t="n">
        <x:f>IF(A17="AAPL",(281.07-313.14)*0.031935,0)</x:f>
        <x:v>0</x:v>
      </x:c>
      <x:c r="N17" s="97" t="str">
        <x:v>Buy submitted for rotation; position opens after fill.</x:v>
      </x:c>
      <x:c r="O17" s="100" t="n">
        <x:v>46207</x:v>
      </x:c>
    </x:row>
    <x:row r="18" ht="15" hidden="0" customHeight="1">
      <x:c r="A18" s="108" t="str">
        <x:v>CASY</x:v>
      </x:c>
      <x:c r="B18" s="97" t="str">
        <x:v>Buy Queued</x:v>
      </x:c>
      <x:c r="C18" s="109" t="n">
        <x:v>0</x:v>
      </x:c>
      <x:c r="D18" s="99"/>
      <x:c r="E18" s="99" t="n">
        <x:v>797.42</x:v>
      </x:c>
      <x:c r="F18" s="99" t="str">
        <x:f>IF(OR(C18="",D18=""),"",C18*D18)</x:f>
      </x:c>
      <x:c r="G18" s="99" t="str">
        <x:f>IF(OR(C18="",E18=""),"",C18*E18)</x:f>
      </x:c>
      <x:c r="H18" s="99" t="str">
        <x:f>IF(OR(F18="",G18=""),"",G18-F18)</x:f>
      </x:c>
      <x:c r="I18" s="110" t="str">
        <x:f>IF(F18&gt;0,H18/F18,"")</x:f>
      </x:c>
      <x:c r="J18" s="97" t="str">
        <x:v>BUY</x:v>
      </x:c>
      <x:c r="K18" s="97" t="str">
        <x:v>$104.94</x:v>
      </x:c>
      <x:c r="L18" s="97" t="str">
        <x:v>Queued</x:v>
      </x:c>
      <x:c r="M18" s="99" t="n">
        <x:f>IF(A18="AAPL",(281.07-313.14)*0.031935,0)</x:f>
        <x:v>0</x:v>
      </x:c>
      <x:c r="N18" s="97" t="str">
        <x:v>Buy submitted for rotation; position opens after fill.</x:v>
      </x:c>
      <x:c r="O18" s="100" t="n">
        <x:v>46207</x:v>
      </x:c>
    </x:row>
    <x:row r="19" ht="15" hidden="0" customHeight="1">
      <x:c r="A19" s="111" t="str">
        <x:v>AAPL</x:v>
      </x:c>
      <x:c r="B19" s="102" t="str">
        <x:v>Closed</x:v>
      </x:c>
      <x:c r="C19" s="112" t="n">
        <x:v>0</x:v>
      </x:c>
      <x:c r="D19" s="104" t="n">
        <x:v>313.14</x:v>
      </x:c>
      <x:c r="E19" s="104" t="n">
        <x:v>281.07</x:v>
      </x:c>
      <x:c r="F19" s="104" t="str">
        <x:f>IF(OR(C19="",D19=""),"",C19*D19)</x:f>
      </x:c>
      <x:c r="G19" s="104" t="str">
        <x:f>IF(OR(C19="",E19=""),"",C19*E19)</x:f>
      </x:c>
      <x:c r="H19" s="104" t="str">
        <x:f>IF(OR(F19="",G19=""),"",G19-F19)</x:f>
      </x:c>
      <x:c r="I19" s="113" t="str">
        <x:f>IF(F19&gt;0,H19/F19,"")</x:f>
      </x:c>
      <x:c r="J19" s="102" t="str">
        <x:v>SELL</x:v>
      </x:c>
      <x:c r="K19" s="102" t="str">
        <x:v>0.031935</x:v>
      </x:c>
      <x:c r="L19" s="102" t="str">
        <x:v>Filled</x:v>
      </x:c>
      <x:c r="M19" s="104" t="n">
        <x:f>IF(A19="AAPL",(281.07-313.14)*0.031935,0)</x:f>
        <x:v>-1.0241554499999996</x:v>
      </x:c>
      <x:c r="N19" s="102" t="str">
        <x:v>Residual position closed on 2026-06-30.</x:v>
      </x:c>
      <x:c r="O19" s="105" t="n">
        <x:v>46207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9ac86b9eb14a47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34" hidden="0" customWidth="1"/>
    <x:col min="4" max="4" width="34" hidden="0" customWidth="1"/>
    <x:col min="5" max="5" width="16" hidden="0" customWidth="1"/>
    <x:col min="6" max="6" width="58" hidden="0" customWidth="1"/>
  </x:cols>
  <x:sheetData>
    <x:row r="1" ht="15" hidden="0" customHeight="1">
      <x:c r="A1" s="86" t="str">
        <x:v>Weekly Agentic Trading Journal Routine</x:v>
      </x:c>
      <x:c r="B1" s="86" t="str">
        <x:v>Weekly Agentic Trading Journal Routine</x:v>
      </x:c>
      <x:c r="C1" s="86" t="str">
        <x:v>Weekly Agentic Trading Journal Routine</x:v>
      </x:c>
      <x:c r="D1" s="86" t="str">
        <x:v>Weekly Agentic Trading Journal Routine</x:v>
      </x:c>
      <x:c r="E1" s="86" t="str">
        <x:v>Weekly Agentic Trading Journal Routine</x:v>
      </x:c>
      <x:c r="F1" s="86" t="str">
        <x:v>Weekly Agentic Trading Journal Routine</x:v>
      </x:c>
    </x:row>
    <x:row r="2" ht="15" hidden="0" customHeight="1">
      <x:c r="A2" s="88"/>
      <x:c r="B2" s="88"/>
      <x:c r="C2" s="88"/>
      <x:c r="D2" s="88"/>
      <x:c r="E2" s="88"/>
      <x:c r="F2" s="88"/>
    </x:row>
    <x:row r="3" ht="15" hidden="0" customHeight="1">
      <x:c r="A3" s="95" t="str">
        <x:v>Step</x:v>
      </x:c>
      <x:c r="B3" s="95" t="str">
        <x:v>Action</x:v>
      </x:c>
      <x:c r="C3" s="95" t="str">
        <x:v>Workbook Update</x:v>
      </x:c>
      <x:c r="D3" s="95" t="str">
        <x:v>Source</x:v>
      </x:c>
      <x:c r="E3" s="95" t="str">
        <x:v>Frequency</x:v>
      </x:c>
      <x:c r="F3" s="95" t="str">
        <x:v>Notes</x:v>
      </x:c>
    </x:row>
    <x:row r="4" ht="24" hidden="0" customHeight="1">
      <x:c r="A4" s="108" t="n">
        <x:v>1</x:v>
      </x:c>
      <x:c r="B4" s="97" t="str">
        <x:v>Record opening balance</x:v>
      </x:c>
      <x:c r="C4" s="97" t="str">
        <x:v>Transaction Journal summary and opening balance row</x:v>
      </x:c>
      <x:c r="D4" s="97" t="str">
        <x:v>Robinhood portfolio snapshot</x:v>
      </x:c>
      <x:c r="E4" s="97" t="str">
        <x:v>Start / reset only</x:v>
      </x:c>
      <x:c r="F4" s="114" t="str">
        <x:v>Do not overwrite historical opening balance unless resetting the strategy.</x:v>
      </x:c>
    </x:row>
    <x:row r="5" ht="24" hidden="0" customHeight="1">
      <x:c r="A5" s="108" t="n">
        <x:v>2</x:v>
      </x:c>
      <x:c r="B5" s="97" t="str">
        <x:v>Record filled orders</x:v>
      </x:c>
      <x:c r="C5" s="97" t="str">
        <x:v>Add rows to Transaction Journal with filled qty, average price, fees, order id</x:v>
      </x:c>
      <x:c r="D5" s="97" t="str">
        <x:v>Robinhood order history</x:v>
      </x:c>
      <x:c r="E5" s="97" t="str">
        <x:v>Weekly</x:v>
      </x:c>
      <x:c r="F5" s="114" t="str">
        <x:v>Filled BUY rows become cost basis. Filled SELL rows compute realized P/L.</x:v>
      </x:c>
    </x:row>
    <x:row r="6" ht="24" hidden="0" customHeight="1">
      <x:c r="A6" s="108" t="n">
        <x:v>3</x:v>
      </x:c>
      <x:c r="B6" s="97" t="str">
        <x:v>Record funds added/withdrawn</x:v>
      </x:c>
      <x:c r="C6" s="97" t="str">
        <x:v>Add Funds Added or Withdrawal rows</x:v>
      </x:c>
      <x:c r="D6" s="97" t="str">
        <x:v>Robinhood cash/account-value change or explicit user note</x:v>
      </x:c>
      <x:c r="E6" s="97" t="str">
        <x:v>As needed</x:v>
      </x:c>
      <x:c r="F6" s="114" t="str">
        <x:v>Current workbook includes $750.00 funds added on 2026-07-04.</x:v>
      </x:c>
    </x:row>
    <x:row r="7" ht="24" hidden="0" customHeight="1">
      <x:c r="A7" s="108" t="n">
        <x:v>4</x:v>
      </x:c>
      <x:c r="B7" s="97" t="str">
        <x:v>Record new weekly rotation orders</x:v>
      </x:c>
      <x:c r="C7" s="97" t="str">
        <x:v>Add queued/submitted orders first; update to Filled once complete</x:v>
      </x:c>
      <x:c r="D7" s="97" t="str">
        <x:v>Weekly EQT Basket Routine and Robinhood order status</x:v>
      </x:c>
      <x:c r="E7" s="97" t="str">
        <x:v>Weekly</x:v>
      </x:c>
      <x:c r="F7" s="114" t="str">
        <x:v>Queued trades should not drive realized P/L until fills are known.</x:v>
      </x:c>
    </x:row>
    <x:row r="8" ht="24" hidden="0" customHeight="1">
      <x:c r="A8" s="111" t="n">
        <x:v>5</x:v>
      </x:c>
      <x:c r="B8" s="102" t="str">
        <x:v>Update P/L tracking</x:v>
      </x:c>
      <x:c r="C8" s="102" t="str">
        <x:v>Refresh mark prices, positions, open order status, realized P/L</x:v>
      </x:c>
      <x:c r="D8" s="102" t="str">
        <x:v>Robinhood positions, quotes, and order status</x:v>
      </x:c>
      <x:c r="E8" s="102" t="str">
        <x:v>Weekly and after fills</x:v>
      </x:c>
      <x:c r="F8" s="115" t="str">
        <x:v>Maintain 25% cash buffer for rotations unless user overrides.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04fd465023c642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22" hidden="0" customWidth="1"/>
    <x:col min="4" max="4" width="64" hidden="0" customWidth="1"/>
    <x:col min="5" max="5" width="46" hidden="0" customWidth="1"/>
  </x:cols>
  <x:sheetData>
    <x:row r="1" ht="15" hidden="0" customHeight="1">
      <x:c r="A1" s="86" t="str">
        <x:v>Agentic Trading Journal Update Log</x:v>
      </x:c>
      <x:c r="B1" s="86" t="str">
        <x:v>Agentic Trading Journal Update Log</x:v>
      </x:c>
      <x:c r="C1" s="86" t="str">
        <x:v>Agentic Trading Journal Update Log</x:v>
      </x:c>
      <x:c r="D1" s="86" t="str">
        <x:v>Agentic Trading Journal Update Log</x:v>
      </x:c>
      <x:c r="E1" s="86" t="str">
        <x:v>Agentic Trading Journal Update Log</x:v>
      </x:c>
    </x:row>
    <x:row r="2" ht="15" hidden="0" customHeight="1">
      <x:c r="A2" s="88"/>
      <x:c r="B2" s="88"/>
      <x:c r="C2" s="88"/>
      <x:c r="D2" s="88"/>
      <x:c r="E2" s="88"/>
    </x:row>
    <x:row r="3" ht="15" hidden="0" customHeight="1">
      <x:c r="A3" s="95" t="str">
        <x:v>Updated Date</x:v>
      </x:c>
      <x:c r="B3" s="95" t="str">
        <x:v>Week</x:v>
      </x:c>
      <x:c r="C3" s="95" t="str">
        <x:v>Update Type</x:v>
      </x:c>
      <x:c r="D3" s="95" t="str">
        <x:v>Summary</x:v>
      </x:c>
      <x:c r="E3" s="95" t="str">
        <x:v>Source</x:v>
      </x:c>
    </x:row>
    <x:row r="4" ht="15" hidden="0" customHeight="1">
      <x:c r="A4" s="116" t="n">
        <x:v>46207</x:v>
      </x:c>
      <x:c r="B4" s="97" t="str">
        <x:v>20260629</x:v>
      </x:c>
      <x:c r="C4" s="97" t="str">
        <x:v>Journal Created</x:v>
      </x:c>
      <x:c r="D4" s="97" t="str">
        <x:v>Recorded opening balance and initial filled EQT basket trades.</x:v>
      </x:c>
      <x:c r="E4" s="114" t="str">
        <x:v>Robinhood orders and 20260629 Weekly EQT Basket Routine</x:v>
      </x:c>
    </x:row>
    <x:row r="5" ht="15" hidden="0" customHeight="1">
      <x:c r="A5" s="116" t="n">
        <x:v>46207</x:v>
      </x:c>
      <x:c r="B5" s="97" t="str">
        <x:v>20260703</x:v>
      </x:c>
      <x:c r="C5" s="97" t="str">
        <x:v>Weekly Rotation</x:v>
      </x:c>
      <x:c r="D5" s="97" t="str">
        <x:v>Recorded queued SYF and GEV sells plus queued HWM and CASY buys.</x:v>
      </x:c>
      <x:c r="E5" s="114" t="str">
        <x:v>Robinhood orders and 20260703 Weekly EQT Basket Routine</x:v>
      </x:c>
    </x:row>
    <x:row r="6" ht="24" hidden="0" customHeight="1">
      <x:c r="A6" s="116" t="n">
        <x:v>46207</x:v>
      </x:c>
      <x:c r="B6" s="97" t="str">
        <x:v>20260703</x:v>
      </x:c>
      <x:c r="C6" s="97" t="str">
        <x:v>Funds Added</x:v>
      </x:c>
      <x:c r="D6" s="97" t="str">
        <x:v>Recorded $750.00 funds added and refreshed cash, buying power, and 25% cash buffer tracking.</x:v>
      </x:c>
      <x:c r="E6" s="114" t="str">
        <x:v>Robinhood Agentic account snapshot</x:v>
      </x:c>
    </x:row>
    <x:row r="7" ht="24" hidden="0" customHeight="1">
      <x:c r="A7" s="117" t="n">
        <x:v>46207</x:v>
      </x:c>
      <x:c r="B7" s="102" t="str">
        <x:v>20260703</x:v>
      </x:c>
      <x:c r="C7" s="102" t="str">
        <x:v>Workbook Enhancement</x:v>
      </x:c>
      <x:c r="D7" s="102" t="str">
        <x:v>Renamed workbook, added Last Updated Date columns, and added this Update Log sheet.</x:v>
      </x:c>
      <x:c r="E7" s="115" t="str">
        <x:v>User request on 2026-07-04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b2317afbe784413"/>
  </x:tableParts>
</x:worksheet>
</file>